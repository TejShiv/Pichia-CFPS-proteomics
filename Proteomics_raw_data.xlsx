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tshivaku_ic_ac_uk/Documents/Proteomics/Paul Hitchen 4_3_2026/Pichia/"/>
    </mc:Choice>
  </mc:AlternateContent>
  <xr:revisionPtr revIDLastSave="23" documentId="11_3DF15629C675B60E62355476585DCE3A87435767" xr6:coauthVersionLast="47" xr6:coauthVersionMax="47" xr10:uidLastSave="{5497BED7-7319-4FAD-9A77-3CA8EB8E230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Sheet1!$I$1:$I$688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6" i="1" l="1"/>
  <c r="I582" i="1"/>
  <c r="I585" i="1"/>
  <c r="I603" i="1"/>
  <c r="I604" i="1"/>
  <c r="I605" i="1"/>
  <c r="I606" i="1"/>
  <c r="I574" i="1"/>
  <c r="I575" i="1"/>
  <c r="I461" i="1"/>
  <c r="I462" i="1"/>
  <c r="I468" i="1"/>
  <c r="I572" i="1"/>
  <c r="I573" i="1"/>
  <c r="I524" i="1"/>
  <c r="I598" i="1"/>
  <c r="I599" i="1"/>
  <c r="I597" i="1"/>
  <c r="I429" i="1"/>
  <c r="I432" i="1"/>
  <c r="I579" i="1"/>
  <c r="I580" i="1"/>
  <c r="I518" i="1"/>
  <c r="I583" i="1"/>
  <c r="I425" i="1"/>
  <c r="I607" i="1"/>
  <c r="I608" i="1"/>
  <c r="I609" i="1"/>
  <c r="I610" i="1"/>
  <c r="I611" i="1"/>
  <c r="I551" i="1"/>
  <c r="I552" i="1"/>
  <c r="I550" i="1"/>
  <c r="I602" i="1"/>
  <c r="I600" i="1"/>
  <c r="I601" i="1"/>
  <c r="I569" i="1"/>
  <c r="I450" i="1"/>
  <c r="I452" i="1"/>
  <c r="I581" i="1"/>
  <c r="I578" i="1"/>
  <c r="I487" i="1"/>
  <c r="I488" i="1"/>
  <c r="I584" i="1"/>
  <c r="I590" i="1"/>
  <c r="I591" i="1"/>
  <c r="I592" i="1"/>
  <c r="I513" i="1"/>
  <c r="I514" i="1"/>
  <c r="I511" i="1"/>
  <c r="I441" i="1"/>
  <c r="I442" i="1"/>
  <c r="I440" i="1"/>
  <c r="I474" i="1"/>
  <c r="I475" i="1"/>
  <c r="I612" i="1"/>
  <c r="I613" i="1"/>
  <c r="I614" i="1"/>
  <c r="I615" i="1"/>
  <c r="I616" i="1"/>
  <c r="I617" i="1"/>
  <c r="I618" i="1"/>
  <c r="I594" i="1"/>
  <c r="I595" i="1"/>
  <c r="I596" i="1"/>
  <c r="I619" i="1"/>
  <c r="I620" i="1"/>
  <c r="I621" i="1"/>
  <c r="I433" i="1"/>
  <c r="I431" i="1"/>
  <c r="I622" i="1"/>
  <c r="I566" i="1"/>
  <c r="I563" i="1"/>
  <c r="I564" i="1"/>
  <c r="I2" i="1"/>
  <c r="I3" i="1"/>
  <c r="I469" i="1"/>
  <c r="I467" i="1"/>
  <c r="I556" i="1"/>
  <c r="I555" i="1"/>
  <c r="I477" i="1"/>
  <c r="I500" i="1"/>
  <c r="I623" i="1"/>
  <c r="I535" i="1"/>
  <c r="I534" i="1"/>
  <c r="I624" i="1"/>
  <c r="I625" i="1"/>
  <c r="I626" i="1"/>
  <c r="I627" i="1"/>
  <c r="I4" i="1"/>
  <c r="I586" i="1"/>
  <c r="I587" i="1"/>
  <c r="I588" i="1"/>
  <c r="I628" i="1"/>
  <c r="I504" i="1"/>
  <c r="I505" i="1"/>
  <c r="I501" i="1"/>
  <c r="I522" i="1"/>
  <c r="I521" i="1"/>
  <c r="I5" i="1"/>
  <c r="I6" i="1"/>
  <c r="I7" i="1"/>
  <c r="I520" i="1"/>
  <c r="I519" i="1"/>
  <c r="I525" i="1"/>
  <c r="I490" i="1"/>
  <c r="I491" i="1"/>
  <c r="I496" i="1"/>
  <c r="I493" i="1"/>
  <c r="I560" i="1"/>
  <c r="I561" i="1"/>
  <c r="I562" i="1"/>
  <c r="I629" i="1"/>
  <c r="I630" i="1"/>
  <c r="I631" i="1"/>
  <c r="I8" i="1"/>
  <c r="I499" i="1"/>
  <c r="I517" i="1"/>
  <c r="I498" i="1"/>
  <c r="I547" i="1"/>
  <c r="I548" i="1"/>
  <c r="I549" i="1"/>
  <c r="I459" i="1"/>
  <c r="I460" i="1"/>
  <c r="I457" i="1"/>
  <c r="I589" i="1"/>
  <c r="I632" i="1"/>
  <c r="I633" i="1"/>
  <c r="I436" i="1"/>
  <c r="I437" i="1"/>
  <c r="I430" i="1"/>
  <c r="I634" i="1"/>
  <c r="I546" i="1"/>
  <c r="I455" i="1"/>
  <c r="I447" i="1"/>
  <c r="I543" i="1"/>
  <c r="I453" i="1"/>
  <c r="I458" i="1"/>
  <c r="I448" i="1"/>
  <c r="I593" i="1"/>
  <c r="I544" i="1"/>
  <c r="I508" i="1"/>
  <c r="I9" i="1"/>
  <c r="I509" i="1"/>
  <c r="I510" i="1"/>
  <c r="I635" i="1"/>
  <c r="I636" i="1"/>
  <c r="I565" i="1"/>
  <c r="I567" i="1"/>
  <c r="I568" i="1"/>
  <c r="I570" i="1"/>
  <c r="I571" i="1"/>
  <c r="I637" i="1"/>
  <c r="I10" i="1"/>
  <c r="I11" i="1"/>
  <c r="I540" i="1"/>
  <c r="I12" i="1"/>
  <c r="I638" i="1"/>
  <c r="I545" i="1"/>
  <c r="I13" i="1"/>
  <c r="I14" i="1"/>
  <c r="I463" i="1"/>
  <c r="I456" i="1"/>
  <c r="I639" i="1"/>
  <c r="I640" i="1"/>
  <c r="I15" i="1"/>
  <c r="I16" i="1"/>
  <c r="I17" i="1"/>
  <c r="I523" i="1"/>
  <c r="I641" i="1"/>
  <c r="I642" i="1"/>
  <c r="I557" i="1"/>
  <c r="I449" i="1"/>
  <c r="I451" i="1"/>
  <c r="I541" i="1"/>
  <c r="I542" i="1"/>
  <c r="I643" i="1"/>
  <c r="I644" i="1"/>
  <c r="I439" i="1"/>
  <c r="I427" i="1"/>
  <c r="I428" i="1"/>
  <c r="I426" i="1"/>
  <c r="I18" i="1"/>
  <c r="I19" i="1"/>
  <c r="I20" i="1"/>
  <c r="I21" i="1"/>
  <c r="I22" i="1"/>
  <c r="I502" i="1"/>
  <c r="I503" i="1"/>
  <c r="I476" i="1"/>
  <c r="I553" i="1"/>
  <c r="I554" i="1"/>
  <c r="I537" i="1"/>
  <c r="I538" i="1"/>
  <c r="I539" i="1"/>
  <c r="I559" i="1"/>
  <c r="I645" i="1"/>
  <c r="I558" i="1"/>
  <c r="I646" i="1"/>
  <c r="I23" i="1"/>
  <c r="I647" i="1"/>
  <c r="I648" i="1"/>
  <c r="I649" i="1"/>
  <c r="I650" i="1"/>
  <c r="I24" i="1"/>
  <c r="I651" i="1"/>
  <c r="I25" i="1"/>
  <c r="I470" i="1"/>
  <c r="I652" i="1"/>
  <c r="I483" i="1"/>
  <c r="I484" i="1"/>
  <c r="I653" i="1"/>
  <c r="I465" i="1"/>
  <c r="I654" i="1"/>
  <c r="I655" i="1"/>
  <c r="I26" i="1"/>
  <c r="I27" i="1"/>
  <c r="I28" i="1"/>
  <c r="I656" i="1"/>
  <c r="I657" i="1"/>
  <c r="I29" i="1"/>
  <c r="I30" i="1"/>
  <c r="I434" i="1"/>
  <c r="I435" i="1"/>
  <c r="I438" i="1"/>
  <c r="I31" i="1"/>
  <c r="I32" i="1"/>
  <c r="I479" i="1"/>
  <c r="I478" i="1"/>
  <c r="I33" i="1"/>
  <c r="I34" i="1"/>
  <c r="I35" i="1"/>
  <c r="I36" i="1"/>
  <c r="I37" i="1"/>
  <c r="I38" i="1"/>
  <c r="I39" i="1"/>
  <c r="I515" i="1"/>
  <c r="I516" i="1"/>
  <c r="I512" i="1"/>
  <c r="I40" i="1"/>
  <c r="I41" i="1"/>
  <c r="I42" i="1"/>
  <c r="I43" i="1"/>
  <c r="I44" i="1"/>
  <c r="I45" i="1"/>
  <c r="I46" i="1"/>
  <c r="I47" i="1"/>
  <c r="I658" i="1"/>
  <c r="I659" i="1"/>
  <c r="I660" i="1"/>
  <c r="I48" i="1"/>
  <c r="I49" i="1"/>
  <c r="I50" i="1"/>
  <c r="I51" i="1"/>
  <c r="I52" i="1"/>
  <c r="I464" i="1"/>
  <c r="I661" i="1"/>
  <c r="I662" i="1"/>
  <c r="I53" i="1"/>
  <c r="I54" i="1"/>
  <c r="I55" i="1"/>
  <c r="I56" i="1"/>
  <c r="I57" i="1"/>
  <c r="I58" i="1"/>
  <c r="I59" i="1"/>
  <c r="I60" i="1"/>
  <c r="I61" i="1"/>
  <c r="I663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664" i="1"/>
  <c r="I665" i="1"/>
  <c r="I666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667" i="1"/>
  <c r="I181" i="1"/>
  <c r="I182" i="1"/>
  <c r="I183" i="1"/>
  <c r="I184" i="1"/>
  <c r="I668" i="1"/>
  <c r="I669" i="1"/>
  <c r="I670" i="1"/>
  <c r="I671" i="1"/>
  <c r="I185" i="1"/>
  <c r="I186" i="1"/>
  <c r="I187" i="1"/>
  <c r="I188" i="1"/>
  <c r="I189" i="1"/>
  <c r="I190" i="1"/>
  <c r="I191" i="1"/>
  <c r="I192" i="1"/>
  <c r="I193" i="1"/>
  <c r="I194" i="1"/>
  <c r="I195" i="1"/>
  <c r="I672" i="1"/>
  <c r="I673" i="1"/>
  <c r="I196" i="1"/>
  <c r="I197" i="1"/>
  <c r="I443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674" i="1"/>
  <c r="I675" i="1"/>
  <c r="I676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536" i="1"/>
  <c r="I530" i="1"/>
  <c r="I228" i="1"/>
  <c r="I529" i="1"/>
  <c r="I229" i="1"/>
  <c r="I230" i="1"/>
  <c r="I231" i="1"/>
  <c r="I446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444" i="1"/>
  <c r="I445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506" i="1"/>
  <c r="I507" i="1"/>
  <c r="I497" i="1"/>
  <c r="I265" i="1"/>
  <c r="I266" i="1"/>
  <c r="I267" i="1"/>
  <c r="I268" i="1"/>
  <c r="I269" i="1"/>
  <c r="I480" i="1"/>
  <c r="I481" i="1"/>
  <c r="I466" i="1"/>
  <c r="I270" i="1"/>
  <c r="I271" i="1"/>
  <c r="I272" i="1"/>
  <c r="I273" i="1"/>
  <c r="I274" i="1"/>
  <c r="I275" i="1"/>
  <c r="I276" i="1"/>
  <c r="I277" i="1"/>
  <c r="I278" i="1"/>
  <c r="I494" i="1"/>
  <c r="I495" i="1"/>
  <c r="I485" i="1"/>
  <c r="I531" i="1"/>
  <c r="I532" i="1"/>
  <c r="I533" i="1"/>
  <c r="I279" i="1"/>
  <c r="I492" i="1"/>
  <c r="I482" i="1"/>
  <c r="I280" i="1"/>
  <c r="I281" i="1"/>
  <c r="I282" i="1"/>
  <c r="I283" i="1"/>
  <c r="I284" i="1"/>
  <c r="I489" i="1"/>
  <c r="I486" i="1"/>
  <c r="I526" i="1"/>
  <c r="I285" i="1"/>
  <c r="I286" i="1"/>
  <c r="I287" i="1"/>
  <c r="I52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471" i="1"/>
  <c r="I302" i="1"/>
  <c r="I303" i="1"/>
  <c r="I304" i="1"/>
  <c r="I305" i="1"/>
  <c r="I306" i="1"/>
  <c r="I307" i="1"/>
  <c r="I472" i="1"/>
  <c r="I473" i="1"/>
  <c r="I454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528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677" i="1"/>
  <c r="I416" i="1"/>
  <c r="I417" i="1"/>
  <c r="I418" i="1"/>
  <c r="I419" i="1"/>
  <c r="I420" i="1"/>
  <c r="I421" i="1"/>
  <c r="I422" i="1"/>
  <c r="I423" i="1"/>
  <c r="I424" i="1"/>
  <c r="I678" i="1"/>
  <c r="I679" i="1"/>
  <c r="I680" i="1"/>
  <c r="I681" i="1"/>
  <c r="I682" i="1"/>
  <c r="I683" i="1"/>
  <c r="I684" i="1"/>
  <c r="I685" i="1"/>
  <c r="I686" i="1"/>
  <c r="I687" i="1"/>
  <c r="I688" i="1"/>
  <c r="I577" i="1"/>
</calcChain>
</file>

<file path=xl/sharedStrings.xml><?xml version="1.0" encoding="utf-8"?>
<sst xmlns="http://schemas.openxmlformats.org/spreadsheetml/2006/main" count="1383" uniqueCount="1265">
  <si>
    <t>protein.Accession</t>
  </si>
  <si>
    <t>protein.Description</t>
  </si>
  <si>
    <t>F2QT12</t>
  </si>
  <si>
    <t>Glyceraldehyde-3-phosphate dehydrogenase OS=Komagataella phaffii (strain ATCC 76273 / CBS 7435 / CECT 11047 / NRRL Y-11430 / Wegner 21-1) OX=981350 GN=TDH3 PE=3 SV=1</t>
  </si>
  <si>
    <t>C4R0P1</t>
  </si>
  <si>
    <t>Glyceraldehyde-3-phosphate dehydrogenase OS=Komagataella phaffii (strain GS115 / ATCC 20864) OX=644223 GN=PAS_chr2-1_0437 PE=3 SV=1</t>
  </si>
  <si>
    <t>Q92263</t>
  </si>
  <si>
    <t>Glyceraldehyde-3-phosphate dehydrogenase OS=Komagataella pastoris OX=4922 GN=GPD PE=3 SV=1</t>
  </si>
  <si>
    <t>A0A1B2JAL9</t>
  </si>
  <si>
    <t>Glyceraldehyde-3-phosphate dehydrogenase OS=Komagataella pastoris OX=4922 GN=TDH3 PE=3 SV=1</t>
  </si>
  <si>
    <t>F2QR99</t>
  </si>
  <si>
    <t>thioredoxin-dependent peroxiredoxin OS=Komagataella phaffii (strain ATCC 76273 / CBS 7435 / CECT 11047 / NRRL Y-11430 / Wegner 21-1) OX=981350 GN=TSA1 PE=3 SV=1</t>
  </si>
  <si>
    <t>C4R2H3</t>
  </si>
  <si>
    <t>thioredoxin-dependent peroxiredoxin OS=Komagataella phaffii (strain GS115 / ATCC 20864) OX=644223 GN=PAS_chr2-2_0220 PE=3 SV=1</t>
  </si>
  <si>
    <t>C5NSJ6</t>
  </si>
  <si>
    <t>thioredoxin-dependent peroxiredoxin OS=Komagataella pastoris OX=4922 GN=TSA1 PE=3 SV=1</t>
  </si>
  <si>
    <t>A0A1B2JDU6</t>
  </si>
  <si>
    <t>F2QWD8</t>
  </si>
  <si>
    <t>Aldehyde reductase OS=Komagataella phaffii (strain ATCC 76273 / CBS 7435 / CECT 11047 / NRRL Y-11430 / Wegner 21-1) OX=981350 GN=PP7435_Chr3-0762 PE=3 SV=1</t>
  </si>
  <si>
    <t>C4R4L0</t>
  </si>
  <si>
    <t>Dihydrokaempferol 4-reductase OS=Komagataella phaffii (strain GS115 / ATCC 20864) OX=644223 GN=PAS_chr3_0449 PE=3 SV=1</t>
  </si>
  <si>
    <t>F2QZX4</t>
  </si>
  <si>
    <t>40S ribosomal protein S7 OS=Komagataella phaffii (strain ATCC 76273 / CBS 7435 / CECT 11047 / NRRL Y-11430 / Wegner 21-1) OX=981350 GN=RPS7B PE=3 SV=1</t>
  </si>
  <si>
    <t>C4R762</t>
  </si>
  <si>
    <t>40S ribosomal protein S7 OS=Komagataella phaffii (strain GS115 / ATCC 20864) OX=644223 GN=PAS_chr4_0211 PE=3 SV=1</t>
  </si>
  <si>
    <t>A0A1B2JAY8</t>
  </si>
  <si>
    <t>40S ribosomal protein S7 OS=Komagataella pastoris OX=4922 GN=RPS7B PE=3 SV=1</t>
  </si>
  <si>
    <t>F2QX59</t>
  </si>
  <si>
    <t>Pyruvate decarboxylase isozymes OS=Komagataella phaffii (strain ATCC 76273 / CBS 7435 / CECT 11047 / NRRL Y-11430 / Wegner 21-1) OX=981350 GN=PDC1 PE=3 SV=1</t>
  </si>
  <si>
    <t>C4R3T2</t>
  </si>
  <si>
    <t>Major of three pyruvate decarboxylase isozymes OS=Komagataella phaffii (strain GS115 / ATCC 20864) OX=644223 GN=PAS_chr3_0188 PE=3 SV=1</t>
  </si>
  <si>
    <t>F2QXF2</t>
  </si>
  <si>
    <t>60S ribosomal protein P2-alpha OS=Komagataella phaffii (strain ATCC 76273 / CBS 7435 / CECT 11047 / NRRL Y-11430 / Wegner 21-1) OX=981350 GN=RPP2A PE=3 SV=1</t>
  </si>
  <si>
    <t>F2QXG9</t>
  </si>
  <si>
    <t>phosphopyruvate hydratase OS=Komagataella phaffii (strain ATCC 76273 / CBS 7435 / CECT 11047 / NRRL Y-11430 / Wegner 21-1) OX=981350 GN=ENO1 PE=3 SV=1</t>
  </si>
  <si>
    <t>C4R3H8</t>
  </si>
  <si>
    <t>phosphopyruvate hydratase OS=Komagataella phaffii (strain GS115 / ATCC 20864) OX=644223 GN=PAS_chr3_0082 PE=3 SV=1</t>
  </si>
  <si>
    <t>A0A1B2J8V2</t>
  </si>
  <si>
    <t>phosphopyruvate hydratase OS=Komagataella pastoris OX=4922 GN=ENO1 PE=3 SV=1</t>
  </si>
  <si>
    <t>F2QM52</t>
  </si>
  <si>
    <t>Nascent polypeptide-associated complex subunit beta OS=Komagataella phaffii (strain ATCC 76273 / CBS 7435 / CECT 11047 / NRRL Y-11430 / Wegner 21-1) OX=981350 GN=EGD1 PE=3 SV=2</t>
  </si>
  <si>
    <t>A0A1B2J5B1</t>
  </si>
  <si>
    <t>Nascent polypeptide-associated complex subunit beta OS=Komagataella pastoris OX=4922 GN=EGD1 PE=3 SV=1</t>
  </si>
  <si>
    <t>F2QN77</t>
  </si>
  <si>
    <t>Hsp90 chaperone OS=Komagataella phaffii (strain ATCC 76273 / CBS 7435 / CECT 11047 / NRRL Y-11430 / Wegner 21-1) OX=981350 GN=HSP82 PE=3 SV=1</t>
  </si>
  <si>
    <t>C4QXI5</t>
  </si>
  <si>
    <t>Heat shock protein Hsp90 OS=Komagataella phaffii (strain GS115 / ATCC 20864) OX=644223 GN=PAS_chr1-4_0130 PE=3 SV=1</t>
  </si>
  <si>
    <t>A0A1B2J5W4</t>
  </si>
  <si>
    <t>BA75_00092T0 OS=Komagataella pastoris OX=4922 GN=ATY40_BA7500092 PE=3 SV=1</t>
  </si>
  <si>
    <t>A0A1B2J6S7</t>
  </si>
  <si>
    <t>BA75_00945T0 OS=Komagataella pastoris OX=4922 GN=HSP82 PE=3 SV=1</t>
  </si>
  <si>
    <t>C4QVG1</t>
  </si>
  <si>
    <t>Nascent polypeptide-associated complex subunit beta OS=Komagataella phaffii (strain GS115 / ATCC 20864) OX=644223 GN=PAS_chr1-3_0172 PE=3 SV=1</t>
  </si>
  <si>
    <t>Q7ZA46</t>
  </si>
  <si>
    <t>Phosphoglycerate kinase OS=Komagataella pastoris OX=4922 GN=PGK1 PE=3 SV=1</t>
  </si>
  <si>
    <t>F2QLH3</t>
  </si>
  <si>
    <t>Phosphoglycerate kinase OS=Komagataella phaffii (strain ATCC 76273 / CBS 7435 / CECT 11047 / NRRL Y-11430 / Wegner 21-1) OX=981350 GN=PGK1 PE=3 SV=1</t>
  </si>
  <si>
    <t>C4QY07</t>
  </si>
  <si>
    <t>Phosphoglycerate kinase OS=Komagataella phaffii (strain GS115 / ATCC 20864) OX=644223 GN=PAS_chr1-4_0292 PE=3 SV=1</t>
  </si>
  <si>
    <t>F2QV99</t>
  </si>
  <si>
    <t>Phosphoglycerate mutase OS=Komagataella phaffii (strain ATCC 76273 / CBS 7435 / CECT 11047 / NRRL Y-11430 / Wegner 21-1) OX=981350 GN=GPM1 PE=3 SV=1</t>
  </si>
  <si>
    <t>C4R5P4</t>
  </si>
  <si>
    <t>Phosphoglycerate mutase OS=Komagataella phaffii (strain GS115 / ATCC 20864) OX=644223 GN=PAS_chr3_0826 PE=3 SV=1</t>
  </si>
  <si>
    <t>C4R430</t>
  </si>
  <si>
    <t>6-phosphogluconate dehydrogenase_ decarboxylating OS=Komagataella phaffii (strain GS115 / ATCC 20864) OX=644223 GN=PAS_chr3_0277 PE=3 SV=1</t>
  </si>
  <si>
    <t>F2QWW3</t>
  </si>
  <si>
    <t>6-phosphogluconate dehydrogenase_ decarboxylating OS=Komagataella phaffii (strain ATCC 76273 / CBS 7435 / CECT 11047 / NRRL Y-11430 / Wegner 21-1) OX=981350 GN=GND2 PE=3 SV=1</t>
  </si>
  <si>
    <t>A0A1B2J6Y7</t>
  </si>
  <si>
    <t>6-phosphogluconate dehydrogenase_ decarboxylating OS=Komagataella pastoris OX=4922 GN=GND2 PE=3 SV=1</t>
  </si>
  <si>
    <t>A0A1B2J8B5</t>
  </si>
  <si>
    <t>Glutamate dehydrogenase OS=Komagataella pastoris OX=4922 GN=GDH3 PE=3 SV=1</t>
  </si>
  <si>
    <t>F2QMB9</t>
  </si>
  <si>
    <t>Glutamate dehydrogenase OS=Komagataella phaffii (strain ATCC 76273 / CBS 7435 / CECT 11047 / NRRL Y-11430 / Wegner 21-1) OX=981350 GN=GDH3 PE=3 SV=1</t>
  </si>
  <si>
    <t>C4QW46</t>
  </si>
  <si>
    <t>Glutamate dehydrogenase OS=Komagataella phaffii (strain GS115 / ATCC 20864) OX=644223 GN=PAS_chr1-1_0107 PE=3 SV=1</t>
  </si>
  <si>
    <t>A0A1B2J9P5</t>
  </si>
  <si>
    <t>BA75_00188T0 OS=Komagataella pastoris OX=4922 GN=PDC1 PE=3 SV=1</t>
  </si>
  <si>
    <t>F2QYH3</t>
  </si>
  <si>
    <t>60S ribosomal protein P1-beta OS=Komagataella phaffii (strain ATCC 76273 / CBS 7435 / CECT 11047 / NRRL Y-11430 / Wegner 21-1) OX=981350 GN=RPP1B PE=3 SV=1</t>
  </si>
  <si>
    <t>C4R8M3</t>
  </si>
  <si>
    <t>Uncharacterized protein OS=Komagataella phaffii (strain GS115 / ATCC 20864) OX=644223 GN=PAS_chr4_0982 PE=3 SV=1</t>
  </si>
  <si>
    <t>F2QWH8</t>
  </si>
  <si>
    <t>Ornithine aminotransferase OS=Komagataella phaffii (strain ATCC 76273 / CBS 7435 / CECT 11047 / NRRL Y-11430 / Wegner 21-1) OX=981350 GN=CAR2 PE=3 SV=1</t>
  </si>
  <si>
    <t>C4R4H3</t>
  </si>
  <si>
    <t>Ornithine aminotransferase OS=Komagataella phaffii (strain GS115 / ATCC 20864) OX=644223 GN=PAS_chr3_0410 PE=3 SV=1</t>
  </si>
  <si>
    <t>C4R6P3</t>
  </si>
  <si>
    <t>Protein component of the large (60S) ribosomal subunit OS=Komagataella phaffii (strain GS115 / ATCC 20864) OX=644223 GN=PAS_chr4_0041 PE=3 SV=1</t>
  </si>
  <si>
    <t>F2R0E7</t>
  </si>
  <si>
    <t>60S ribosomal protein L22-A OS=Komagataella phaffii (strain ATCC 76273 / CBS 7435 / CECT 11047 / NRRL Y-11430 / Wegner 21-1) OX=981350 GN=RPL22A PE=3 SV=1</t>
  </si>
  <si>
    <t>A0A1B2J9E2</t>
  </si>
  <si>
    <t>Ornithine aminotransferase OS=Komagataella pastoris OX=4922 GN=CAR2 PE=3 SV=1</t>
  </si>
  <si>
    <t>H9L7T3</t>
  </si>
  <si>
    <t>alcohol dehydrogenase OS=Komagataella pastoris OX=4922 GN=ADH PE=3 SV=1</t>
  </si>
  <si>
    <t>F2QSX6</t>
  </si>
  <si>
    <t>alcohol dehydrogenase OS=Komagataella phaffii (strain ATCC 76273 / CBS 7435 / CECT 11047 / NRRL Y-11430 / Wegner 21-1) OX=981350 GN=ADH2 PE=3 SV=1</t>
  </si>
  <si>
    <t>C4R0S8</t>
  </si>
  <si>
    <t>alcohol dehydrogenase OS=Komagataella phaffii (strain GS115 / ATCC 20864) OX=644223 GN=PAS_chr2-1_0472 PE=1 SV=1</t>
  </si>
  <si>
    <t>F2QMU3</t>
  </si>
  <si>
    <t>40S ribosomal protein S8 OS=Komagataella phaffii (strain ATCC 76273 / CBS 7435 / CECT 11047 / NRRL Y-11430 / Wegner 21-1) OX=981350 GN=RPS8A PE=3 SV=1</t>
  </si>
  <si>
    <t>C4QX43</t>
  </si>
  <si>
    <t>40S ribosomal protein S8 OS=Komagataella phaffii (strain GS115 / ATCC 20864) OX=644223 GN=PAS_chr1-1_0439 PE=3 SV=1</t>
  </si>
  <si>
    <t>A0A1B2J6U3</t>
  </si>
  <si>
    <t>40S ribosomal protein S8 OS=Komagataella pastoris OX=4922 GN=RPS8B PE=3 SV=1</t>
  </si>
  <si>
    <t>F2QNU2</t>
  </si>
  <si>
    <t>60S ribosomal protein L2-A OS=Komagataella phaffii (strain ATCC 76273 / CBS 7435 / CECT 11047 / NRRL Y-11430 / Wegner 21-1) OX=981350 GN=RPL2B PE=3 SV=1</t>
  </si>
  <si>
    <t>C4QWG6</t>
  </si>
  <si>
    <t>Protein component of the large (60S) ribosomal subunit OS=Komagataella phaffii (strain GS115 / ATCC 20864) OX=644223 GN=PAS_chr1-1_0219 PE=3 SV=1</t>
  </si>
  <si>
    <t>A0A1B2J5R5</t>
  </si>
  <si>
    <t>BA75_01318T0 OS=Komagataella pastoris OX=4922 GN=ATY40_BA7501318 PE=3 SV=1</t>
  </si>
  <si>
    <t>F2QLH8</t>
  </si>
  <si>
    <t>Translation under nutrient stress required protein OS=Komagataella phaffii (strain ATCC 76273 / CBS 7435 / CECT 11047 / NRRL Y-11430 / Wegner 21-1) OX=981350 GN=STM1 PE=4 SV=1</t>
  </si>
  <si>
    <t>C4QY12</t>
  </si>
  <si>
    <t>Suppressor protein STM1 OS=Komagataella phaffii (strain GS115 / ATCC 20864) OX=644223 GN=PAS_chr1-4_0297 PE=4 SV=1</t>
  </si>
  <si>
    <t>F2QM84</t>
  </si>
  <si>
    <t>Fructose-bisphosphate aldolase OS=Komagataella phaffii (strain ATCC 76273 / CBS 7435 / CECT 11047 / NRRL Y-11430 / Wegner 21-1) OX=981350 GN=FBA1-1 PE=3 SV=1</t>
  </si>
  <si>
    <t>C4QW09</t>
  </si>
  <si>
    <t>Fructose-bisphosphate aldolase OS=Komagataella phaffii (strain GS115 / ATCC 20864) OX=644223 GN=PAS_chr1-1_0072 PE=3 SV=1</t>
  </si>
  <si>
    <t>F2QTL7</t>
  </si>
  <si>
    <t>Malate dehydrogenase OS=Komagataella phaffii (strain ATCC 76273 / CBS 7435 / CECT 11047 / NRRL Y-11430 / Wegner 21-1) OX=981350 GN=MDH1 PE=3 SV=1</t>
  </si>
  <si>
    <t>C4R024</t>
  </si>
  <si>
    <t>Malate dehydrogenase OS=Komagataella phaffii (strain GS115 / ATCC 20864) OX=644223 GN=PAS_chr2-1_0238 PE=3 SV=1</t>
  </si>
  <si>
    <t>A0A1B2JH53</t>
  </si>
  <si>
    <t>Malate dehydrogenase OS=Komagataella pastoris OX=4922 GN=MDH1 PE=3 SV=1</t>
  </si>
  <si>
    <t>C4R626</t>
  </si>
  <si>
    <t>Triosephosphate isomerase OS=Komagataella phaffii (strain GS115 / ATCC 20864) OX=644223 GN=PAS_chr3_0951 PE=3 SV=1</t>
  </si>
  <si>
    <t>F2QUW4</t>
  </si>
  <si>
    <t>Triosephosphate isomerase OS=Komagataella phaffii (strain ATCC 76273 / CBS 7435 / CECT 11047 / NRRL Y-11430 / Wegner 21-1) OX=981350 GN=TPI1 PE=3 SV=1</t>
  </si>
  <si>
    <t>Q6T2C8</t>
  </si>
  <si>
    <t>Adenosylhomocysteinase OS=Komagataella pastoris OX=4922 GN=SAHH PE=2 SV=1</t>
  </si>
  <si>
    <t>F2QV27</t>
  </si>
  <si>
    <t>Adenosylhomocysteinase OS=Komagataella phaffii (strain ATCC 76273 / CBS 7435 / CECT 11047 / NRRL Y-11430 / Wegner 21-1) OX=981350 GN=SAH1 PE=3 SV=1</t>
  </si>
  <si>
    <t>C4R5W1</t>
  </si>
  <si>
    <t>Adenosylhomocysteinase OS=Komagataella phaffii (strain GS115 / ATCC 20864) OX=644223 GN=PAS_chr3_0890 PE=3 SV=1</t>
  </si>
  <si>
    <t>A0A1B2JFA7</t>
  </si>
  <si>
    <t>Triosephosphate isomerase OS=Komagataella pastoris OX=4922 GN=TPI1 PE=3 SV=1</t>
  </si>
  <si>
    <t>F2QQT0</t>
  </si>
  <si>
    <t>Nucleoside diphosphate kinase OS=Komagataella phaffii (strain ATCC 76273 / CBS 7435 / CECT 11047 / NRRL Y-11430 / Wegner 21-1) OX=981350 GN=YNK1 PE=3 SV=1</t>
  </si>
  <si>
    <t>C4R300</t>
  </si>
  <si>
    <t>Nucleoside diphosphate kinase OS=Komagataella phaffii (strain GS115 / ATCC 20864) OX=644223 GN=PAS_chr2-2_0059 PE=3 SV=1</t>
  </si>
  <si>
    <t>C4QY72</t>
  </si>
  <si>
    <t>Protein component of the small (40S) ribosomal subunit OS=Komagataella phaffii (strain GS115 / ATCC 20864) OX=644223 GN=PAS_chr1-4_0353 PE=3 SV=1</t>
  </si>
  <si>
    <t>A0A1G4KPH8</t>
  </si>
  <si>
    <t>40S ribosomal protein S19-B OS=Komagataella phaffii (strain ATCC 76273 / CBS 7435 / CECT 11047 / NRRL Y-11430 / Wegner 21-1) OX=981350 GN=RPS19B PE=3 SV=1</t>
  </si>
  <si>
    <t>A0A1B2J5L5</t>
  </si>
  <si>
    <t>A0A1B2JGS7</t>
  </si>
  <si>
    <t>BA75_04779T0 OS=Komagataella pastoris OX=4922 GN=ATY40_BA7504779 PE=3 SV=1</t>
  </si>
  <si>
    <t>F2QYW1</t>
  </si>
  <si>
    <t>ATPase involved in protein folding OS=Komagataella phaffii (strain ATCC 76273 / CBS 7435 / CECT 11047 / NRRL Y-11430 / Wegner 21-1) OX=981350 GN=SSA1 PE=3 SV=1</t>
  </si>
  <si>
    <t>C4R887</t>
  </si>
  <si>
    <t>ATPase involved in protein folding and nuclear localization signal (NLS)-directed nuclear transport OS=Komagataella phaffii (strain GS115 / ATCC 20864) OX=644223 GN=PAS_chr4_0552 PE=3 SV=1</t>
  </si>
  <si>
    <t>F2QS01</t>
  </si>
  <si>
    <t>40S ribosomal protein S17-B OS=Komagataella phaffii (strain ATCC 76273 / CBS 7435 / CECT 11047 / NRRL Y-11430 / Wegner 21-1) OX=981350 GN=RPS17B PE=3 SV=1</t>
  </si>
  <si>
    <t>C4R1R2</t>
  </si>
  <si>
    <t>Ribosomal protein 51 (Rp51) of the small (40s) subunit OS=Komagataella phaffii (strain GS115 / ATCC 20864) OX=644223 GN=PAS_chr2-1_0779 PE=3 SV=1</t>
  </si>
  <si>
    <t>F2QLR1</t>
  </si>
  <si>
    <t>60S ribosomal protein L4-A OS=Komagataella phaffii (strain ATCC 76273 / CBS 7435 / CECT 11047 / NRRL Y-11430 / Wegner 21-1) OX=981350 GN=RPL4A PE=3 SV=1</t>
  </si>
  <si>
    <t>C4QV16</t>
  </si>
  <si>
    <t>Protein component of the large (60S) ribosomal subunit_ nearly identical to Rpl4Ap OS=Komagataella phaffii (strain GS115 / ATCC 20864) OX=644223 GN=PAS_chr1-3_0034 PE=3 SV=1</t>
  </si>
  <si>
    <t>F2QT76</t>
  </si>
  <si>
    <t>Translational elongation factor 1 beta OS=Komagataella phaffii (strain ATCC 76273 / CBS 7435 / CECT 11047 / NRRL Y-11430 / Wegner 21-1) OX=981350 GN=EFB1 PE=3 SV=2</t>
  </si>
  <si>
    <t>C4R0H3</t>
  </si>
  <si>
    <t>GTPase_ member of the Obg family OS=Komagataella phaffii (strain GS115 / ATCC 20864) OX=644223 GN=PAS_chr2-1_0376 PE=3 SV=1</t>
  </si>
  <si>
    <t>F2QU20</t>
  </si>
  <si>
    <t>60S ribosomal protein L30 OS=Komagataella phaffii (strain ATCC 76273 / CBS 7435 / CECT 11047 / NRRL Y-11430 / Wegner 21-1) OX=981350 GN=RPL30 PE=3 SV=1</t>
  </si>
  <si>
    <t>C4QZL4</t>
  </si>
  <si>
    <t>Protein component of the large (60S) ribosomal subunit_ has similarity to rat L30 ribosomal protein OS=Komagataella phaffii (strain GS115 / ATCC 20864) OX=644223 GN=PAS_chr2-1_0087 PE=3 SV=1</t>
  </si>
  <si>
    <t>C4R298</t>
  </si>
  <si>
    <t>Arginase OS=Komagataella phaffii (strain GS115 / ATCC 20864) OX=644223 GN=PAS_chr2-2_0288 PE=3 SV=1</t>
  </si>
  <si>
    <t>F2QMD2</t>
  </si>
  <si>
    <t>Citrate synthase OS=Komagataella phaffii (strain ATCC 76273 / CBS 7435 / CECT 11047 / NRRL Y-11430 / Wegner 21-1) OX=981350 GN=CIT1 PE=3 SV=1</t>
  </si>
  <si>
    <t>C4QW60</t>
  </si>
  <si>
    <t>Citrate synthase OS=Komagataella phaffii (strain GS115 / ATCC 20864) OX=644223 GN=PAS_chr1-1_0475 PE=3 SV=1</t>
  </si>
  <si>
    <t>F2QRG9</t>
  </si>
  <si>
    <t>Arginase OS=Komagataella phaffii (strain ATCC 76273 / CBS 7435 / CECT 11047 / NRRL Y-11430 / Wegner 21-1) OX=981350 GN=CAR1-1 PE=3 SV=1</t>
  </si>
  <si>
    <t>C4QXV0</t>
  </si>
  <si>
    <t>Mitochondrial protein involved in maintenance of the mitochondrial genome OS=Komagataella phaffii (strain GS115 / ATCC 20864) OX=644223 GN=PAS_chr1-4_0238 PE=3 SV=1</t>
  </si>
  <si>
    <t>A0A1G4KPF5</t>
  </si>
  <si>
    <t>Isoleucine transamination OS=Komagataella phaffii (strain ATCC 76273 / CBS 7435 / CECT 11047 / NRRL Y-11430 / Wegner 21-1) OX=981350 GN=MMF1 PE=3 SV=1</t>
  </si>
  <si>
    <t>A0A1B2J759</t>
  </si>
  <si>
    <t>BA75_00827T0 OS=Komagataella pastoris OX=4922 GN=ATY40_BA7500827 PE=3 SV=1</t>
  </si>
  <si>
    <t>F2QPT4</t>
  </si>
  <si>
    <t>60S ribosomal protein P2-beta OS=Komagataella phaffii (strain ATCC 76273 / CBS 7435 / CECT 11047 / NRRL Y-11430 / Wegner 21-1) OX=981350 GN=RPP2B PE=3 SV=1</t>
  </si>
  <si>
    <t>F2QMT7</t>
  </si>
  <si>
    <t>Ketol-acid reductoisomerase_ mitochondrial OS=Komagataella phaffii (strain ATCC 76273 / CBS 7435 / CECT 11047 / NRRL Y-11430 / Wegner 21-1) OX=981350 GN=ILV5 PE=3 SV=1</t>
  </si>
  <si>
    <t>C4QX36</t>
  </si>
  <si>
    <t>Ketol-acid reductoisomerase_ mitochondrial OS=Komagataella phaffii (strain GS115 / ATCC 20864) OX=644223 GN=PAS_chr1-1_0432 PE=3 SV=1</t>
  </si>
  <si>
    <t>A0A1B2J6D2</t>
  </si>
  <si>
    <t>Ketol-acid reductoisomerase_ mitochondrial OS=Komagataella pastoris OX=4922 GN=ILV5 PE=3 SV=1</t>
  </si>
  <si>
    <t>A0A1B2J6E8</t>
  </si>
  <si>
    <t>Fructose-bisphosphate aldolase OS=Komagataella pastoris OX=4922 GN=FBA1 PE=3 SV=1</t>
  </si>
  <si>
    <t>F2QPR4</t>
  </si>
  <si>
    <t>Small ribosomal subunit protein uS2 OS=Komagataella phaffii (strain ATCC 76273 / CBS 7435 / CECT 11047 / NRRL Y-11430 / Wegner 21-1) OX=981350 GN=RPS0B PE=3 SV=1</t>
  </si>
  <si>
    <t>A0A1B2JEW4</t>
  </si>
  <si>
    <t>Small ribosomal subunit protein uS2 OS=Komagataella pastoris OX=4922 GN=RPS0A PE=3 SV=1</t>
  </si>
  <si>
    <t>C4QYK0</t>
  </si>
  <si>
    <t>Small ribosomal subunit protein uS2 OS=Komagataella phaffii (strain GS115 / ATCC 20864) OX=644223 GN=RPS0 PE=3 SV=1</t>
  </si>
  <si>
    <t>F2QUA4</t>
  </si>
  <si>
    <t>60S ribosomal protein L14-B OS=Komagataella phaffii (strain ATCC 76273 / CBS 7435 / CECT 11047 / NRRL Y-11430 / Wegner 21-1) OX=981350 GN=RPL14B PE=3 SV=1</t>
  </si>
  <si>
    <t>C4R389</t>
  </si>
  <si>
    <t>Large ribosomal subunit protein eL14 domain-containing protein OS=Komagataella phaffii (strain GS115 / ATCC 20864) OX=644223 GN=PAS_c131_0011 PE=3 SV=1</t>
  </si>
  <si>
    <t>F2QP67</t>
  </si>
  <si>
    <t>60S ribosomal protein L5 OS=Komagataella phaffii (strain ATCC 76273 / CBS 7435 / CECT 11047 / NRRL Y-11430 / Wegner 21-1) OX=981350 GN=RPL5 PE=3 SV=1</t>
  </si>
  <si>
    <t>C4QWU8</t>
  </si>
  <si>
    <t>Protein component of the large (60S) ribosomal subunit OS=Komagataella phaffii (strain GS115 / ATCC 20864) OX=644223 GN=PAS_chr1-1_0345 PE=3 SV=1</t>
  </si>
  <si>
    <t>A0A1B2J905</t>
  </si>
  <si>
    <t>BA75_01194T0 OS=Komagataella pastoris OX=4922 GN=RPL5 PE=3 SV=1</t>
  </si>
  <si>
    <t>F2QVJ7</t>
  </si>
  <si>
    <t>non-chaperonin molecular chaperone ATPase OS=Komagataella phaffii (strain ATCC 76273 / CBS 7435 / CECT 11047 / NRRL Y-11430 / Wegner 21-1) OX=981350 GN=SSB2 PE=3 SV=1</t>
  </si>
  <si>
    <t>C4R5E4</t>
  </si>
  <si>
    <t>non-chaperonin molecular chaperone ATPase OS=Komagataella phaffii (strain GS115 / ATCC 20864) OX=644223 GN=PAS_chr3_0731 PE=3 SV=1</t>
  </si>
  <si>
    <t>A0A1B2JG62</t>
  </si>
  <si>
    <t>non-chaperonin molecular chaperone ATPase OS=Komagataella pastoris OX=4922 GN=SSB2 PE=3 SV=1</t>
  </si>
  <si>
    <t>C4QZQ5</t>
  </si>
  <si>
    <t>Elongation factor 2 OS=Komagataella phaffii (strain GS115 / ATCC 20864) OX=644223 GN=PAS_chr2-1_0812 PE=4 SV=1</t>
  </si>
  <si>
    <t>A0A1G4KQ30</t>
  </si>
  <si>
    <t>Elongation factor 2 OS=Komagataella phaffii (strain ATCC 76273 / CBS 7435 / CECT 11047 / NRRL Y-11430 / Wegner 21-1) OX=981350 GN=EFT2 PE=4 SV=1</t>
  </si>
  <si>
    <t>A0A1B2JHN5</t>
  </si>
  <si>
    <t>Elongation factor 2 OS=Komagataella pastoris OX=4922 GN=EFT1 PE=4 SV=1</t>
  </si>
  <si>
    <t>Q874B9</t>
  </si>
  <si>
    <t>Elongation factor 2 OS=Komagataella pastoris OX=4922 GN=EFT1 PE=3 SV=1</t>
  </si>
  <si>
    <t>C4R3X8</t>
  </si>
  <si>
    <t>ATPase involved in protein folding and the response to stress OS=Komagataella phaffii (strain GS115 / ATCC 20864) OX=644223 GN=PAS_chr3_0230 PE=3 SV=1</t>
  </si>
  <si>
    <t>F2QX14</t>
  </si>
  <si>
    <t>ATPase involved in protein folding OS=Komagataella phaffii (strain ATCC 76273 / CBS 7435 / CECT 11047 / NRRL Y-11430 / Wegner 21-1) OX=981350 GN=SSA3 PE=3 SV=1</t>
  </si>
  <si>
    <t>A0A1B2J5W9</t>
  </si>
  <si>
    <t>BA75_00236T0 OS=Komagataella pastoris OX=4922 GN=ATY40_BA7500236 PE=3 SV=1</t>
  </si>
  <si>
    <t>F2QRM3</t>
  </si>
  <si>
    <t>Transaldolase OS=Komagataella phaffii (strain ATCC 76273 / CBS 7435 / CECT 11047 / NRRL Y-11430 / Wegner 21-1) OX=981350 GN=TAL1-1 PE=3 SV=1</t>
  </si>
  <si>
    <t>C4R245</t>
  </si>
  <si>
    <t>Transaldolase OS=Komagataella phaffii (strain GS115 / ATCC 20864) OX=644223 GN=PAS_chr2-2_0337 PE=3 SV=1</t>
  </si>
  <si>
    <t>A0A1B2JB79</t>
  </si>
  <si>
    <t>Transaldolase OS=Komagataella pastoris OX=4922 GN=TAL1 PE=3 SV=1</t>
  </si>
  <si>
    <t>F2QNJ7</t>
  </si>
  <si>
    <t>Peptidyl-prolyl cis-trans isomerase OS=Komagataella phaffii (strain ATCC 76273 / CBS 7435 / CECT 11047 / NRRL Y-11430 / Wegner 21-1) OX=981350 GN=CPR1 PE=3 SV=1</t>
  </si>
  <si>
    <t>F2QU82</t>
  </si>
  <si>
    <t>60S ribosomal protein L7-A OS=Komagataella phaffii (strain ATCC 76273 / CBS 7435 / CECT 11047 / NRRL Y-11430 / Wegner 21-1) OX=981350 GN=RPL7A PE=3 SV=1</t>
  </si>
  <si>
    <t>Q1W5W1</t>
  </si>
  <si>
    <t>non-chaperonin molecular chaperone ATPase OS=Komagataella pastoris OX=4922 PE=3 SV=1</t>
  </si>
  <si>
    <t>C4QZE7</t>
  </si>
  <si>
    <t>Protein component of the large (60S) ribosomal subunit_ nearly identical to Rpl7Ap and has similarit OS=Komagataella phaffii (strain GS115 / ATCC 20864) OX=644223 GN=PAS_chr2-1_0022 PE=3 SV=1</t>
  </si>
  <si>
    <t>F2QQG8</t>
  </si>
  <si>
    <t>Elongation factor 1-alpha OS=Komagataella phaffii (strain ATCC 76273 / CBS 7435 / CECT 11047 / NRRL Y-11430 / Wegner 21-1) OX=981350 GN=TEF2 PE=3 SV=1</t>
  </si>
  <si>
    <t>C4QZB0</t>
  </si>
  <si>
    <t>Elongation factor 1-alpha OS=Komagataella phaffii (strain GS115 / ATCC 20864) OX=644223 GN=PAS_FragB_0052 PE=3 SV=1</t>
  </si>
  <si>
    <t>A0A1B2JFK5</t>
  </si>
  <si>
    <t>Elongation factor 1-alpha OS=Komagataella pastoris OX=4922 GN=TEF1 PE=3 SV=1</t>
  </si>
  <si>
    <t>C4R0T8</t>
  </si>
  <si>
    <t>Protein component of the small (40S) ribosomal subunit OS=Komagataella phaffii (strain GS115 / ATCC 20864) OX=644223 GN=PAS_chr2-1_0482 PE=3 SV=1</t>
  </si>
  <si>
    <t>A0A1G4KPY2</t>
  </si>
  <si>
    <t>Small (40S) ribosomal subunit OS=Komagataella phaffii (strain ATCC 76273 / CBS 7435 / CECT 11047 / NRRL Y-11430 / Wegner 21-1) OX=981350 GN=RPS22B PE=3 SV=1</t>
  </si>
  <si>
    <t>A0A1B2JBL2</t>
  </si>
  <si>
    <t>BA75_02693T0 OS=Komagataella pastoris OX=4922 GN=ATY40_BA7502693 PE=3 SV=1</t>
  </si>
  <si>
    <t>A0A1B2JE99</t>
  </si>
  <si>
    <t>Adenosylhomocysteinase OS=Komagataella pastoris OX=4922 GN=SAH1 PE=3 SV=1</t>
  </si>
  <si>
    <t>C4R0Y3</t>
  </si>
  <si>
    <t>Translationally-controlled tumor protein homolog OS=Komagataella phaffii (strain GS115 / ATCC 20864) OX=644223 GN=PAS_chr2-1_0522 PE=3 SV=1</t>
  </si>
  <si>
    <t>F2QSS6</t>
  </si>
  <si>
    <t>Translationally-controlled tumor protein homolog OS=Komagataella phaffii (strain ATCC 76273 / CBS 7435 / CECT 11047 / NRRL Y-11430 / Wegner 21-1) OX=981350 GN=TMA19 PE=3 SV=1</t>
  </si>
  <si>
    <t>F2QYZ2</t>
  </si>
  <si>
    <t>Small ribosomal subunit protein eS1 OS=Komagataella phaffii (strain ATCC 76273 / CBS 7435 / CECT 11047 / NRRL Y-11430 / Wegner 21-1) OX=981350 GN=RPS1B PE=3 SV=1</t>
  </si>
  <si>
    <t>C4R853</t>
  </si>
  <si>
    <t>Small ribosomal subunit protein eS1 OS=Komagataella phaffii (strain GS115 / ATCC 20864) OX=644223 GN=RPS1 PE=3 SV=1</t>
  </si>
  <si>
    <t>A0A1B2JHY7</t>
  </si>
  <si>
    <t>Small ribosomal subunit protein eS1 OS=Komagataella pastoris OX=4922 GN=RPS1 PE=3 SV=1</t>
  </si>
  <si>
    <t>A0A1B2J6I2</t>
  </si>
  <si>
    <t>BA75_00477T0 OS=Komagataella pastoris OX=4922 GN=ATY40_BA7500477 PE=3 SV=1</t>
  </si>
  <si>
    <t>A0FJH5</t>
  </si>
  <si>
    <t>Elongation factor 1-alpha OS=Komagataella pastoris OX=4922 PE=3 SV=1</t>
  </si>
  <si>
    <t>F2QZA5</t>
  </si>
  <si>
    <t>Small ribosomal subunit protein uS9 OS=Komagataella phaffii (strain ATCC 76273 / CBS 7435 / CECT 11047 / NRRL Y-11430 / Wegner 21-1) OX=981350 GN=RPS16B PE=3 SV=1</t>
  </si>
  <si>
    <t>C4R7T8</t>
  </si>
  <si>
    <t>Small ribosomal subunit protein uS9 OS=Komagataella phaffii (strain GS115 / ATCC 20864) OX=644223 GN=PAS_chr4_0414 PE=3 SV=1</t>
  </si>
  <si>
    <t>A0A1B2J9N7</t>
  </si>
  <si>
    <t>Citrate synthase OS=Komagataella pastoris OX=4922 GN=CIT1 PE=3 SV=1</t>
  </si>
  <si>
    <t>A0A1B2JJD4</t>
  </si>
  <si>
    <t>BA75_04937T0 OS=Komagataella pastoris OX=4922 GN=RPS16A PE=3 SV=1</t>
  </si>
  <si>
    <t>F2QXG1</t>
  </si>
  <si>
    <t>60S ribosomal protein L19-B OS=Komagataella phaffii (strain ATCC 76273 / CBS 7435 / CECT 11047 / NRRL Y-11430 / Wegner 21-1) OX=981350 GN=RPL19B PE=3 SV=1</t>
  </si>
  <si>
    <t>C4R3I6</t>
  </si>
  <si>
    <t>Protein component of the large (60S) ribosomal subunit_ nearly identical to Rpl19Ap and has similari OS=Komagataella phaffii (strain GS115 / ATCC 20864) OX=644223 GN=PAS_chr3_0091 PE=3 SV=1</t>
  </si>
  <si>
    <t>A0A1B2JBQ8</t>
  </si>
  <si>
    <t>alcohol dehydrogenase OS=Komagataella pastoris OX=4922 GN=ADH2 PE=3 SV=1</t>
  </si>
  <si>
    <t>A8DN83</t>
  </si>
  <si>
    <t>Translation elongation factor 1-alpha (Fragment) OS=Komagataella pastoris OX=4922 PE=3 SV=1</t>
  </si>
  <si>
    <t>A0A1B2JBY6</t>
  </si>
  <si>
    <t>Small ribosomal subunit protein uS11 OS=Komagataella pastoris OX=4922 GN=RPS14A PE=3 SV=1</t>
  </si>
  <si>
    <t>C4QYM0</t>
  </si>
  <si>
    <t>60S acidic ribosomal protein P2-A OS=Komagataella phaffii (strain GS115 / ATCC 20864) OX=644223 GN=PAS_chr1-4_0490 PE=3 SV=1</t>
  </si>
  <si>
    <t>F2QSW8</t>
  </si>
  <si>
    <t>Small ribosomal subunit protein uS11 OS=Komagataella phaffii (strain ATCC 76273 / CBS 7435 / CECT 11047 / NRRL Y-11430 / Wegner 21-1) OX=981350 GN=RPS14A PE=3 SV=1</t>
  </si>
  <si>
    <t>C4R0T7</t>
  </si>
  <si>
    <t>Small ribosomal subunit protein uS11 OS=Komagataella phaffii (strain GS115 / ATCC 20864) OX=644223 GN=PAS_chr2-1_0481 PE=3 SV=1</t>
  </si>
  <si>
    <t>F2QYH8</t>
  </si>
  <si>
    <t>Arginase OS=Komagataella phaffii (strain ATCC 76273 / CBS 7435 / CECT 11047 / NRRL Y-11430 / Wegner 21-1) OX=981350 GN=CAR1-2 PE=3 SV=1</t>
  </si>
  <si>
    <t>C4R8L9</t>
  </si>
  <si>
    <t>Arginase OS=Komagataella phaffii (strain GS115 / ATCC 20864) OX=644223 GN=PAS_chr4_0684 PE=3 SV=1</t>
  </si>
  <si>
    <t>A0A1B2J655</t>
  </si>
  <si>
    <t>BA75_00387T0 OS=Komagataella pastoris OX=4922 GN=SSC1 PE=3 SV=1</t>
  </si>
  <si>
    <t>F2QWM4</t>
  </si>
  <si>
    <t>Hsp70 family ATPase OS=Komagataella phaffii (strain ATCC 76273 / CBS 7435 / CECT 11047 / NRRL Y-11430 / Wegner 21-1) OX=981350 GN=SSC1 PE=3 SV=1</t>
  </si>
  <si>
    <t>C4R4C3</t>
  </si>
  <si>
    <t>Mitochondrial matrix ATPase OS=Komagataella phaffii (strain GS115 / ATCC 20864) OX=644223 GN=PAS_chr3_0365 PE=3 SV=1</t>
  </si>
  <si>
    <t>F2R087</t>
  </si>
  <si>
    <t>Translational elongation factor eEF1B subunit gamma OS=Komagataella phaffii (strain ATCC 76273 / CBS 7435 / CECT 11047 / NRRL Y-11430 / Wegner 21-1) OX=981350 GN=TEF4 PE=4 SV=1</t>
  </si>
  <si>
    <t>C4R6V3</t>
  </si>
  <si>
    <t>Nuclear protein required for transcription of MXR1 OS=Komagataella phaffii (strain GS115 / ATCC 20864) OX=644223 GN=PAS_chr4_0102 PE=4 SV=1</t>
  </si>
  <si>
    <t>A0A1B2JEA2</t>
  </si>
  <si>
    <t>Translationally-controlled tumor protein homolog OS=Komagataella pastoris OX=4922 GN=ATY40_BA7502646 PE=3 SV=1</t>
  </si>
  <si>
    <t>F2QZ60</t>
  </si>
  <si>
    <t>40S ribosomal protein S13 OS=Komagataella phaffii (strain ATCC 76273 / CBS 7435 / CECT 11047 / NRRL Y-11430 / Wegner 21-1) OX=981350 GN=RPS13 PE=3 SV=1</t>
  </si>
  <si>
    <t>C4R7Y4</t>
  </si>
  <si>
    <t>Protein component of the small (40S) ribosomal subunit OS=Komagataella phaffii (strain GS115 / ATCC 20864) OX=644223 GN=PAS_chr4_0456 PE=3 SV=1</t>
  </si>
  <si>
    <t>I3Y134</t>
  </si>
  <si>
    <t>A0A1B2JCY5</t>
  </si>
  <si>
    <t>Adenosine kinase OS=Komagataella pastoris OX=4922 GN=ADO1 PE=3 SV=1</t>
  </si>
  <si>
    <t>A0A1B2JBI3</t>
  </si>
  <si>
    <t>BA75_02955T0 OS=Komagataella pastoris OX=4922 GN=YDR541C PE=3 SV=1</t>
  </si>
  <si>
    <t>A9QAD4</t>
  </si>
  <si>
    <t>F2QR37</t>
  </si>
  <si>
    <t>Adenosine kinase OS=Komagataella phaffii (strain ATCC 76273 / CBS 7435 / CECT 11047 / NRRL Y-11430 / Wegner 21-1) OX=981350 GN=ADO1 PE=3 SV=1</t>
  </si>
  <si>
    <t>C4R2N9</t>
  </si>
  <si>
    <t>Adenosine kinase OS=Komagataella phaffii (strain GS115 / ATCC 20864) OX=644223 GN=PAS_chr2-2_0162 PE=3 SV=1</t>
  </si>
  <si>
    <t>F2QZA6</t>
  </si>
  <si>
    <t>60S ribosomal protein L13-B OS=Komagataella phaffii (strain ATCC 76273 / CBS 7435 / CECT 11047 / NRRL Y-11430 / Wegner 21-1) OX=981350 GN=RPL13B PE=3 SV=1</t>
  </si>
  <si>
    <t>C4R7T7</t>
  </si>
  <si>
    <t>Protein component of the large (60S) ribosomal subunit_ nearly identical to Rpl13Bp OS=Komagataella phaffii (strain GS115 / ATCC 20864) OX=644223 GN=PAS_chr4_0413 PE=3 SV=1</t>
  </si>
  <si>
    <t>F2QZI9</t>
  </si>
  <si>
    <t>Aldehyde reductase OS=Komagataella phaffii (strain ATCC 76273 / CBS 7435 / CECT 11047 / NRRL Y-11430 / Wegner 21-1) OX=981350 GN=PP7435_Chr4-0659 PE=3 SV=1</t>
  </si>
  <si>
    <t>C4R7K3</t>
  </si>
  <si>
    <t>Dihydrokaempferol 4-reductase OS=Komagataella phaffii (strain GS115 / ATCC 20864) OX=644223 GN=PAS_chr4_0336 PE=3 SV=1</t>
  </si>
  <si>
    <t>F2QZX6</t>
  </si>
  <si>
    <t>60S ribosomal protein L16-A OS=Komagataella phaffii (strain ATCC 76273 / CBS 7435 / CECT 11047 / NRRL Y-11430 / Wegner 21-1) OX=981350 GN=RPL16A PE=3 SV=1</t>
  </si>
  <si>
    <t>C4R759</t>
  </si>
  <si>
    <t>N-terminally acetylated protein component of the large (60S) ribosomal subunit_ binds to 5.8 S rRNA OS=Komagataella phaffii (strain GS115 / ATCC 20864) OX=644223 GN=PAS_chr4_0208 PE=3 SV=1</t>
  </si>
  <si>
    <t>A0A1B2JBK1</t>
  </si>
  <si>
    <t>BA75_03102T0 OS=Komagataella pastoris OX=4922 GN=RPL16A PE=3 SV=1</t>
  </si>
  <si>
    <t>A0A1B2JGE7</t>
  </si>
  <si>
    <t>BA75_03340T0 OS=Komagataella pastoris OX=4922 GN=RPL14B PE=3 SV=1</t>
  </si>
  <si>
    <t>F2QQ02</t>
  </si>
  <si>
    <t>Phosphotransferase OS=Komagataella phaffii (strain ATCC 76273 / CBS 7435 / CECT 11047 / NRRL Y-11430 / Wegner 21-1) OX=981350 GN=HXK1 PE=3 SV=1</t>
  </si>
  <si>
    <t>C4QYU3</t>
  </si>
  <si>
    <t>Phosphotransferase OS=Komagataella phaffii (strain GS115 / ATCC 20864) OX=644223 GN=PAS_chr1-4_0561 PE=3 SV=1</t>
  </si>
  <si>
    <t>C4R506</t>
  </si>
  <si>
    <t>ATP-dependent RNA helicase FAL1 OS=Komagataella phaffii (strain GS115 / ATCC 20864) OX=644223 GN=PAS_chr3_0595 PE=3 SV=1</t>
  </si>
  <si>
    <t>F2QQS5</t>
  </si>
  <si>
    <t>60S ribosomal protein L10 OS=Komagataella phaffii (strain ATCC 76273 / CBS 7435 / CECT 11047 / NRRL Y-11430 / Wegner 21-1) OX=981350 GN=RPL10 PE=3 SV=1</t>
  </si>
  <si>
    <t>C4R305</t>
  </si>
  <si>
    <t>Protein component of the large (60S) ribosomal subunit OS=Komagataella phaffii (strain GS115 / ATCC 20864) OX=644223 GN=PAS_chr2-2_0054 PE=3 SV=1</t>
  </si>
  <si>
    <t>R9UEX2</t>
  </si>
  <si>
    <t>Translation elongation factor 1-alpha (Fragment) OS=Komagataella kurtzmanii OX=1342318 PE=3 SV=1</t>
  </si>
  <si>
    <t>A0A2H4ZK54</t>
  </si>
  <si>
    <t>Translation elongation factor 1-alpha (Fragment) OS=Komagataella sp. EN-2017b OX=2008545 GN=EF-1alpha PE=3 SV=1</t>
  </si>
  <si>
    <t>F2QWD9</t>
  </si>
  <si>
    <t>Aldehyde reductase OS=Komagataella phaffii (strain ATCC 76273 / CBS 7435 / CECT 11047 / NRRL Y-11430 / Wegner 21-1) OX=981350 GN=PP7435_Chr3-0763 PE=3 SV=1</t>
  </si>
  <si>
    <t>C4R4K9</t>
  </si>
  <si>
    <t>Dihydrokaempferol 4-reductase OS=Komagataella phaffii (strain GS115 / ATCC 20864) OX=644223 GN=PAS_chr3_0448 PE=3 SV=1</t>
  </si>
  <si>
    <t>A0A1B2JAX9</t>
  </si>
  <si>
    <t>BA75_01920T0 OS=Komagataella pastoris OX=4922 GN=RPL10 PE=3 SV=1</t>
  </si>
  <si>
    <t>F2QMK4</t>
  </si>
  <si>
    <t>60S ribosomal protein L12-B OS=Komagataella phaffii (strain ATCC 76273 / CBS 7435 / CECT 11047 / NRRL Y-11430 / Wegner 21-1) OX=981350 GN=RPL12B PE=3 SV=1</t>
  </si>
  <si>
    <t>C4QWD2</t>
  </si>
  <si>
    <t>Protein component of the large (60S) ribosomal subunit_ nearly identical to Rpl12Ap OS=Komagataella phaffii (strain GS115 / ATCC 20864) OX=644223 GN=PAS_chr1-1_0189 PE=3 SV=1</t>
  </si>
  <si>
    <t>A0A1B2J6N9</t>
  </si>
  <si>
    <t>BA75_01352T0 OS=Komagataella pastoris OX=4922 GN=RPL12A PE=3 SV=1</t>
  </si>
  <si>
    <t>C4QY71</t>
  </si>
  <si>
    <t>Protein component of the large (60S) ribosomal subunit OS=Komagataella phaffii (strain GS115 / ATCC 20864) OX=644223 GN=PAS_chr1-4_0352 PE=3 SV=1</t>
  </si>
  <si>
    <t>A0A1G4KPF8</t>
  </si>
  <si>
    <t>60S ribosomal protein L18-B OS=Komagataella phaffii (strain ATCC 76273 / CBS 7435 / CECT 11047 / NRRL Y-11430 / Wegner 21-1) OX=981350 GN=RPL18B PE=3 SV=1</t>
  </si>
  <si>
    <t>F2QRC5</t>
  </si>
  <si>
    <t>Thioredoxin reductase OS=Komagataella phaffii (strain ATCC 76273 / CBS 7435 / CECT 11047 / NRRL Y-11430 / Wegner 21-1) OX=981350 GN=TRR1 PE=3 SV=1</t>
  </si>
  <si>
    <t>C5NSJ4</t>
  </si>
  <si>
    <t>Thioredoxin reductase OS=Komagataella pastoris OX=4922 GN=TRR1 PE=3 SV=1</t>
  </si>
  <si>
    <t>C4R2E7</t>
  </si>
  <si>
    <t>Thioredoxin reductase OS=Komagataella phaffii (strain GS115 / ATCC 20864) OX=644223 GN=PAS_chr2-2_0480 PE=3 SV=1</t>
  </si>
  <si>
    <t>F2QLZ7</t>
  </si>
  <si>
    <t>Small ribosomal subunit protein uS3 OS=Komagataella phaffii (strain ATCC 76273 / CBS 7435 / CECT 11047 / NRRL Y-11430 / Wegner 21-1) OX=981350 GN=RPS3 PE=3 SV=1</t>
  </si>
  <si>
    <t>C4QVA2</t>
  </si>
  <si>
    <t>Small ribosomal subunit protein uS3 OS=Komagataella phaffii (strain GS115 / ATCC 20864) OX=644223 GN=PAS_chr1-3_0115 PE=3 SV=1</t>
  </si>
  <si>
    <t>A0A1B2J8H8</t>
  </si>
  <si>
    <t>Small ribosomal subunit protein uS3 OS=Komagataella pastoris OX=4922 GN=RPS3 PE=3 SV=1</t>
  </si>
  <si>
    <t>F2QWE0</t>
  </si>
  <si>
    <t>Aldehyde reductase OS=Komagataella phaffii (strain ATCC 76273 / CBS 7435 / CECT 11047 / NRRL Y-11430 / Wegner 21-1) OX=981350 GN=PP7435_Chr3-0764 PE=3 SV=1</t>
  </si>
  <si>
    <t>C4R4K8</t>
  </si>
  <si>
    <t>Dihydrokaempferol 4-reductase OS=Komagataella phaffii (strain GS115 / ATCC 20864) OX=644223 GN=PAS_chr3_0447 PE=3 SV=1</t>
  </si>
  <si>
    <t>A0A2H4ZK59</t>
  </si>
  <si>
    <t>Translation elongation factor 1-alpha (Fragment) OS=Komagataella pseudopastoris OX=169507 GN=EF-1alpha PE=3 SV=1</t>
  </si>
  <si>
    <t>A0A2H4ZK56</t>
  </si>
  <si>
    <t>Translation elongation factor 1-alpha (Fragment) OS=Komagataella mondaviorum OX=2008544 GN=EF-1alpha PE=3 SV=1</t>
  </si>
  <si>
    <t>A0A2H4ZK53</t>
  </si>
  <si>
    <t>A0A1B2J823</t>
  </si>
  <si>
    <t>ATP-dependent RNA helicase FAL1 OS=Komagataella pastoris OX=4922 GN=TIF1 PE=3 SV=1</t>
  </si>
  <si>
    <t>C4QV90</t>
  </si>
  <si>
    <t>Aconitate hydratase_ mitochondrial OS=Komagataella phaffii (strain GS115 / ATCC 20864) OX=644223 GN=PAS_chr1-3_0104 PE=3 SV=1</t>
  </si>
  <si>
    <t>F2QVZ0</t>
  </si>
  <si>
    <t>ATP-dependent RNA helicase FAL1 OS=Komagataella phaffii (strain ATCC 76273 / CBS 7435 / CECT 11047 / NRRL Y-11430 / Wegner 21-1) OX=981350 GN=TIF2 PE=3 SV=1</t>
  </si>
  <si>
    <t>F2QLY4</t>
  </si>
  <si>
    <t>Aconitate hydratase_ mitochondrial OS=Komagataella phaffii (strain ATCC 76273 / CBS 7435 / CECT 11047 / NRRL Y-11430 / Wegner 21-1) OX=981350 GN=ACO1 PE=3 SV=1</t>
  </si>
  <si>
    <t>A0A1B2JCT6</t>
  </si>
  <si>
    <t>Arginase OS=Komagataella pastoris OX=4922 GN=CAR1 PE=3 SV=1</t>
  </si>
  <si>
    <t>A0A1B2JIW1</t>
  </si>
  <si>
    <t>5-methyltetrahydropteroyltriglutamate--homocysteine S-methyltransferase OS=Komagataella pastoris OX=4922 GN=MET6 PE=3 SV=1</t>
  </si>
  <si>
    <t>F2QTU9</t>
  </si>
  <si>
    <t>5-methyltetrahydropteroyltriglutamate--homocysteine S-methyltransferase OS=Komagataella phaffii (strain ATCC 76273 / CBS 7435 / CECT 11047 / NRRL Y-11430 / Wegner 21-1) OX=981350 GN=MET6 PE=3 SV=1</t>
  </si>
  <si>
    <t>C4QZU2</t>
  </si>
  <si>
    <t>5-methyltetrahydropteroyltriglutamate--homocysteine S-methyltransferase OS=Komagataella phaffii (strain GS115 / ATCC 20864) OX=644223 GN=PAS_chr2-1_0160 PE=3 SV=1</t>
  </si>
  <si>
    <t>Q6GYJ7</t>
  </si>
  <si>
    <t>5-methyltetrahydropteroyltriglutamate--homocysteine S-methyltransferase OS=Komagataella pastoris OX=4922 PE=3 SV=1</t>
  </si>
  <si>
    <t>A0A1B2JHV3</t>
  </si>
  <si>
    <t>BA75_04888T0 OS=Komagataella pastoris OX=4922 GN=RPS13 PE=3 SV=1</t>
  </si>
  <si>
    <t>A0A1B2JFF8</t>
  </si>
  <si>
    <t>Phosphotransferase OS=Komagataella pastoris OX=4922 GN=ATY40_BA7504121 PE=3 SV=1</t>
  </si>
  <si>
    <t>A0A1B2JB89</t>
  </si>
  <si>
    <t>A0A1B2JBH0</t>
  </si>
  <si>
    <t>40S ribosomal protein S4 OS=Komagataella pastoris OX=4922 GN=RPS4A PE=3 SV=1</t>
  </si>
  <si>
    <t>A0A1B2J611</t>
  </si>
  <si>
    <t>Aconitate hydratase_ mitochondrial OS=Komagataella pastoris OX=4922 GN=ACO1 PE=3 SV=1</t>
  </si>
  <si>
    <t>F2QZT6</t>
  </si>
  <si>
    <t>40S ribosomal protein S4 OS=Komagataella phaffii (strain ATCC 76273 / CBS 7435 / CECT 11047 / NRRL Y-11430 / Wegner 21-1) OX=981350 GN=RPS4B PE=3 SV=1</t>
  </si>
  <si>
    <t>C4R7A1</t>
  </si>
  <si>
    <t>40S ribosomal protein S4 OS=Komagataella phaffii (strain GS115 / ATCC 20864) OX=644223 GN=PAS_chr4_0246 PE=3 SV=1</t>
  </si>
  <si>
    <t>A0A1B2JCI4</t>
  </si>
  <si>
    <t>Nucleoside diphosphate kinase OS=Komagataella pastoris OX=4922 GN=YNK1 PE=3 SV=1</t>
  </si>
  <si>
    <t>A0A1B2J5B3</t>
  </si>
  <si>
    <t>BA75_00766T0 OS=Komagataella pastoris OX=4922 GN=STM1 PE=4 SV=1</t>
  </si>
  <si>
    <t>F2QWL2</t>
  </si>
  <si>
    <t>Probable NADPH dehydrogenase OS=Komagataella phaffii (strain ATCC 76273 / CBS 7435 / CECT 11047 / NRRL Y-11430 / Wegner 21-1) OX=981350 GN=OYE3-1 PE=3 SV=1</t>
  </si>
  <si>
    <t>C4R4D6</t>
  </si>
  <si>
    <t>Probable NADPH dehydrogenase OS=Komagataella phaffii (strain GS115 / ATCC 20864) OX=644223 GN=PAS_chr3_0377 PE=3 SV=1</t>
  </si>
  <si>
    <t>F2QVZ9</t>
  </si>
  <si>
    <t>40S ribosomal protein S12 OS=Komagataella phaffii (strain ATCC 76273 / CBS 7435 / CECT 11047 / NRRL Y-11430 / Wegner 21-1) OX=981350 GN=RPS12 PE=3 SV=1</t>
  </si>
  <si>
    <t>C4R4Z8</t>
  </si>
  <si>
    <t>40S ribosomal protein S12 OS=Komagataella phaffii (strain GS115 / ATCC 20864) OX=644223 GN=PAS_chr3_1200 PE=3 SV=1</t>
  </si>
  <si>
    <t>A0A1B2J875</t>
  </si>
  <si>
    <t>40S ribosomal protein S12 OS=Komagataella pastoris OX=4922 GN=RPS12 PE=3 SV=1</t>
  </si>
  <si>
    <t>F2QS13</t>
  </si>
  <si>
    <t>Pyruvate kinase OS=Komagataella phaffii (strain ATCC 76273 / CBS 7435 / CECT 11047 / NRRL Y-11430 / Wegner 21-1) OX=981350 GN=CDC19 PE=3 SV=1</t>
  </si>
  <si>
    <t>C4R1P9</t>
  </si>
  <si>
    <t>Pyruvate kinase OS=Komagataella phaffii (strain GS115 / ATCC 20864) OX=644223 GN=PAS_chr2-1_0769 PE=3 SV=1</t>
  </si>
  <si>
    <t>F2QM88</t>
  </si>
  <si>
    <t>40S ribosomal protein S22-A OS=Komagataella phaffii (strain ATCC 76273 / CBS 7435 / CECT 11047 / NRRL Y-11430 / Wegner 21-1) OX=981350 GN=RPS22A PE=3 SV=1</t>
  </si>
  <si>
    <t>C4QW12</t>
  </si>
  <si>
    <t>Protein component of the small (40S) ribosomal subunit OS=Komagataella phaffii (strain GS115 / ATCC 20864) OX=644223 GN=PAS_chr1-1_0076 PE=3 SV=1</t>
  </si>
  <si>
    <t>F2QXK2</t>
  </si>
  <si>
    <t>60S ribosomal protein L20 OS=Komagataella phaffii (strain ATCC 76273 / CBS 7435 / CECT 11047 / NRRL Y-11430 / Wegner 21-1) OX=981350 GN=RPL20A PE=3 SV=1</t>
  </si>
  <si>
    <t>C4R3E7</t>
  </si>
  <si>
    <t>60S ribosomal protein L20 OS=Komagataella phaffii (strain GS115 / ATCC 20864) OX=644223 GN=PAS_chr3_0054 PE=3 SV=1</t>
  </si>
  <si>
    <t>A0A1B2J8E6</t>
  </si>
  <si>
    <t>60S ribosomal protein L20 OS=Komagataella pastoris OX=4922 GN=RPL20B PE=3 SV=1</t>
  </si>
  <si>
    <t>F2QQS4</t>
  </si>
  <si>
    <t>Phosphomannomutase OS=Komagataella phaffii (strain ATCC 76273 / CBS 7435 / CECT 11047 / NRRL Y-11430 / Wegner 21-1) OX=981350 GN=SEC53 PE=3 SV=1</t>
  </si>
  <si>
    <t>C4R306</t>
  </si>
  <si>
    <t>Phosphomannomutase OS=Komagataella phaffii (strain GS115 / ATCC 20864) OX=644223 GN=PAS_chr2-2_0053 PE=3 SV=1</t>
  </si>
  <si>
    <t>C4R6N9</t>
  </si>
  <si>
    <t>Translational elongation factor 3_ stimulates the binding of aminoacyl-tRNA (AA-tRNA) to ribosomes OS=Komagataella phaffii (strain GS115 / ATCC 20864) OX=644223 GN=PAS_chr4_0038 PE=3 SV=1</t>
  </si>
  <si>
    <t>F2R0F1</t>
  </si>
  <si>
    <t>Translational elongation factor eEF1B subunit gamma OS=Komagataella phaffii (strain ATCC 76273 / CBS 7435 / CECT 11047 / NRRL Y-11430 / Wegner 21-1) OX=981350 GN=YEF3 PE=3 SV=1</t>
  </si>
  <si>
    <t>F2QYW3</t>
  </si>
  <si>
    <t>Putative pyridoxine 4-dehydrogenase OS=Komagataella phaffii (strain ATCC 76273 / CBS 7435 / CECT 11047 / NRRL Y-11430 / Wegner 21-1) OX=981350 GN=PP7435_Chr4-0424 PE=4 SV=1</t>
  </si>
  <si>
    <t>C4R885</t>
  </si>
  <si>
    <t>NADP-dependent oxidoreductase domain-containing protein OS=Komagataella phaffii (strain GS115 / ATCC 20864) OX=644223 GN=PAS_chr4_0550 PE=4 SV=1</t>
  </si>
  <si>
    <t>F2QXQ6</t>
  </si>
  <si>
    <t>Translation initiation factor eIF-1 OS=Komagataella phaffii (strain ATCC 76273 / CBS 7435 / CECT 11047 / NRRL Y-11430 / Wegner 21-1) OX=981350 GN=SUI1-1 PE=3 SV=1</t>
  </si>
  <si>
    <t>A0A1B2JHJ2</t>
  </si>
  <si>
    <t>BA75_04358T0 OS=Komagataella pastoris OX=4922 GN=ATY40_BA7504358 PE=3 SV=1</t>
  </si>
  <si>
    <t>C4R976</t>
  </si>
  <si>
    <t>Translation initiation factor eIF1 OS=Komagataella phaffii (strain GS115 / ATCC 20864) OX=644223 GN=PAS_chr4_0880 PE=3 SV=1</t>
  </si>
  <si>
    <t>A0A1B2JJ82</t>
  </si>
  <si>
    <t>Arginase OS=Komagataella pastoris OX=4922 GN=ATY40_BA7504636 PE=3 SV=1</t>
  </si>
  <si>
    <t>P00761</t>
  </si>
  <si>
    <t>Trypsin OS=Sus scrofa PE=1 SV=1</t>
  </si>
  <si>
    <t>A0A1G4KPC3</t>
  </si>
  <si>
    <t>Small ribosomal subunit protein RACK1 OS=Komagataella phaffii (strain ATCC 76273 / CBS 7435 / CECT 11047 / NRRL Y-11430 / Wegner 21-1) OX=981350 GN=ASC1 PE=3 SV=1</t>
  </si>
  <si>
    <t>A0A1B2J6Y6</t>
  </si>
  <si>
    <t>Small ribosomal subunit protein RACK1 OS=Komagataella pastoris OX=4922 GN=ATY40_BA7501010 PE=3 SV=1</t>
  </si>
  <si>
    <t>C4QXC0</t>
  </si>
  <si>
    <t>Small ribosomal subunit protein RACK1 OS=Komagataella phaffii (strain GS115 / ATCC 20864) OX=644223 GN=PAS_chr1-4_0063 PE=3 SV=1</t>
  </si>
  <si>
    <t>F2QLF3</t>
  </si>
  <si>
    <t>60S ribosomal protein L33-A OS=Komagataella phaffii (strain ATCC 76273 / CBS 7435 / CECT 11047 / NRRL Y-11430 / Wegner 21-1) OX=981350 GN=RPL33A PE=3 SV=1</t>
  </si>
  <si>
    <t>C4QXY6</t>
  </si>
  <si>
    <t>N-terminally acetylated ribosomal protein L37 of the large (60S) ribosomal subunit OS=Komagataella phaffii (strain GS115 / ATCC 20864) OX=644223 GN=PAS_chr1-4_0275 PE=3 SV=1</t>
  </si>
  <si>
    <t>F2QSQ9</t>
  </si>
  <si>
    <t>Uncharacterized protein OS=Komagataella phaffii (strain ATCC 76273 / CBS 7435 / CECT 11047 / NRRL Y-11430 / Wegner 21-1) OX=981350 GN=PP7435_Chr2-0752 PE=4 SV=1</t>
  </si>
  <si>
    <t>C4R0Z8</t>
  </si>
  <si>
    <t>Uncharacterized protein OS=Komagataella phaffii (strain GS115 / ATCC 20864) OX=644223 GN=PAS_chr2-1_0539 PE=4 SV=1</t>
  </si>
  <si>
    <t>A0A1B2JAC9</t>
  </si>
  <si>
    <t>Probable NADPH dehydrogenase OS=Komagataella pastoris OX=4922 GN=ATY40_BA7500402 PE=3 SV=1</t>
  </si>
  <si>
    <t>F2QN99</t>
  </si>
  <si>
    <t>Transketolase OS=Komagataella phaffii (strain ATCC 76273 / CBS 7435 / CECT 11047 / NRRL Y-11430 / Wegner 21-1) OX=981350 GN=TKL1 PE=3 SV=1</t>
  </si>
  <si>
    <t>C4QXK7</t>
  </si>
  <si>
    <t>Transketolase OS=Komagataella phaffii (strain GS115 / ATCC 20864) OX=644223 GN=PAS_chr1-4_0150 PE=3 SV=1</t>
  </si>
  <si>
    <t>C0LQF6</t>
  </si>
  <si>
    <t>Transketolase (Fragment) OS=Komagataella pastoris OX=4922 GN=TKL1 PE=3 SV=1</t>
  </si>
  <si>
    <t>F2QX11</t>
  </si>
  <si>
    <t>Actin OS=Komagataella phaffii (strain ATCC 76273 / CBS 7435 / CECT 11047 / NRRL Y-11430 / Wegner 21-1) OX=981350 GN=ACT1 PE=3 SV=1</t>
  </si>
  <si>
    <t>A0A1B2J9Q0</t>
  </si>
  <si>
    <t>Actin OS=Komagataella pastoris OX=4922 GN=ATY40_BA7500239 PE=3 SV=1</t>
  </si>
  <si>
    <t>Q9P4D1</t>
  </si>
  <si>
    <t>Actin OS=Komagataella phaffii (strain GS115 / ATCC 20864) OX=644223 GN=ACT1 PE=1 SV=1</t>
  </si>
  <si>
    <t>A0A1B2JD62</t>
  </si>
  <si>
    <t>BA75_02874T0 OS=Komagataella pastoris OX=4922 GN=ATY40_BA7502874 PE=3 SV=1</t>
  </si>
  <si>
    <t>F2QTE2</t>
  </si>
  <si>
    <t>Enoyl reductase (ER) domain-containing protein OS=Komagataella phaffii (strain ATCC 76273 / CBS 7435 / CECT 11047 / NRRL Y-11430 / Wegner 21-1) OX=981350 GN=PP7435_Chr2-0990 PE=3 SV=1</t>
  </si>
  <si>
    <t>C4R0A4</t>
  </si>
  <si>
    <t>Bifunctional enzyme with alcohol dehydrogenase and glutathione-dependent formaldehyde dehydrogenase OS=Komagataella phaffii (strain GS115 / ATCC 20864) OX=644223 GN=PAS_chr2-1_0313 PE=3 SV=1</t>
  </si>
  <si>
    <t>F2QW56</t>
  </si>
  <si>
    <t>Saccharopine dehydrogenase [NADP(+)_ L-glutamate-forming] OS=Komagataella phaffii (strain ATCC 76273 / CBS 7435 / CECT 11047 / NRRL Y-11430 / Wegner 21-1) OX=981350 GN=LYS9 PE=3 SV=1</t>
  </si>
  <si>
    <t>C4R4U1</t>
  </si>
  <si>
    <t>Saccharopine dehydrogenase [NADP(+)_ L-glutamate-forming] OS=Komagataella phaffii (strain GS115 / ATCC 20864) OX=644223 GN=PAS_chr3_0528 PE=3 SV=1</t>
  </si>
  <si>
    <t>A0A1B2JEB1</t>
  </si>
  <si>
    <t>BA75_03282T0 OS=Komagataella pastoris OX=4922 GN=YEF3 PE=3 SV=1</t>
  </si>
  <si>
    <t>F2QWL3</t>
  </si>
  <si>
    <t>Probable NADPH dehydrogenase OS=Komagataella phaffii (strain ATCC 76273 / CBS 7435 / CECT 11047 / NRRL Y-11430 / Wegner 21-1) OX=981350 GN=OYE3-2 PE=3 SV=1</t>
  </si>
  <si>
    <t>C4R4D5</t>
  </si>
  <si>
    <t>Probable NADPH dehydrogenase OS=Komagataella phaffii (strain GS115 / ATCC 20864) OX=644223 GN=PAS_chr3_1184 PE=3 SV=1</t>
  </si>
  <si>
    <t>F2QWE1</t>
  </si>
  <si>
    <t>Aldehyde reductase OS=Komagataella phaffii (strain ATCC 76273 / CBS 7435 / CECT 11047 / NRRL Y-11430 / Wegner 21-1) OX=981350 GN=PP7435_Chr3-0765 PE=3 SV=1</t>
  </si>
  <si>
    <t>C4R4K7</t>
  </si>
  <si>
    <t>Dihydrokaempferol 4-reductase OS=Komagataella phaffii (strain GS115 / ATCC 20864) OX=644223 GN=PAS_chr3_0446 PE=3 SV=1</t>
  </si>
  <si>
    <t>A0A1B2J9X1</t>
  </si>
  <si>
    <t>BA75_00475T0 OS=Komagataella pastoris OX=4922 GN=ATY40_BA7500475 PE=3 SV=1</t>
  </si>
  <si>
    <t>A0A1B2JCN0</t>
  </si>
  <si>
    <t>BA75_03217T0 OS=Komagataella pastoris OX=4922 GN=ATY40_BA7503217 PE=4 SV=1</t>
  </si>
  <si>
    <t>A0A1B2J8U6</t>
  </si>
  <si>
    <t>Probable NADPH dehydrogenase OS=Komagataella pastoris OX=4922 GN=ATY40_BA7500401 PE=3 SV=1</t>
  </si>
  <si>
    <t>A0A1B2J8Q8</t>
  </si>
  <si>
    <t>Transketolase OS=Komagataella pastoris OX=4922 GN=TKL1 PE=3 SV=1</t>
  </si>
  <si>
    <t>A0A1B2J963</t>
  </si>
  <si>
    <t>BA75_00705T0 OS=Komagataella pastoris OX=4922 GN=ATY40_BA7500705 PE=3 SV=1</t>
  </si>
  <si>
    <t>F2QNR1</t>
  </si>
  <si>
    <t>Zuo1p interacting Hsp70 protein OS=Komagataella phaffii (strain ATCC 76273 / CBS 7435 / CECT 11047 / NRRL Y-11430 / Wegner 21-1) OX=981350 GN=SSZ1 PE=3 SV=1</t>
  </si>
  <si>
    <t>C4QVX1</t>
  </si>
  <si>
    <t>Hsp70 protein that interacts with Zuo1p (A DnaJ homolog) to form a ribosome-associated complex OS=Komagataella phaffii (strain GS115 / ATCC 20864) OX=644223 GN=PAS_chr1-1_0036 PE=3 SV=1</t>
  </si>
  <si>
    <t>A0A1B2JE48</t>
  </si>
  <si>
    <t>Pyruvate kinase OS=Komagataella pastoris OX=4922 GN=ATY40_BA7502380 PE=3 SV=1</t>
  </si>
  <si>
    <t>F2QQP0</t>
  </si>
  <si>
    <t>Pyruvate carboxylase OS=Komagataella phaffii (strain ATCC 76273 / CBS 7435 / CECT 11047 / NRRL Y-11430 / Wegner 21-1) OX=981350 GN=PYC2 PE=4 SV=1</t>
  </si>
  <si>
    <t>C4R339</t>
  </si>
  <si>
    <t>Pyruvate carboxylase OS=Komagataella phaffii (strain GS115 / ATCC 20864) OX=644223 GN=PAS_chr2-2_0024 PE=4 SV=1</t>
  </si>
  <si>
    <t>A0A1B2JD58</t>
  </si>
  <si>
    <t>Phosphomannomutase OS=Komagataella pastoris OX=4922 GN=SEC53 PE=3 SV=1</t>
  </si>
  <si>
    <t>A0A1B2J7J4</t>
  </si>
  <si>
    <t>Saccharopine dehydrogenase [NADP(+)_ L-glutamate-forming] OS=Komagataella pastoris OX=4922 GN=LYS9 PE=3 SV=1</t>
  </si>
  <si>
    <t>A0A1B2JB39</t>
  </si>
  <si>
    <t>Pyruvate carboxylase OS=Komagataella pastoris OX=4922 GN=PYC2 PE=4 SV=1</t>
  </si>
  <si>
    <t>F2QST1</t>
  </si>
  <si>
    <t>Hsp90 cochaperone OS=Komagataella phaffii (strain ATCC 76273 / CBS 7435 / CECT 11047 / NRRL Y-11430 / Wegner 21-1) OX=981350 GN=STI1 PE=4 SV=1</t>
  </si>
  <si>
    <t>C4R0X7</t>
  </si>
  <si>
    <t>Hsp90 cochaperone_ interacts with the Ssa group of the cytosolic Hsp70 chaperones OS=Komagataella phaffii (strain GS115 / ATCC 20864) OX=644223 GN=PAS_chr2-1_0518 PE=4 SV=1</t>
  </si>
  <si>
    <t>F2QQJ5</t>
  </si>
  <si>
    <t>ATPase component of the heat shock protein Hsp90 chaperone complex OS=Komagataella phaffii (strain ATCC 76273 / CBS 7435 / CECT 11047 / NRRL Y-11430 / Wegner 21-1) OX=981350 GN=SSE1 PE=3 SV=1</t>
  </si>
  <si>
    <t>C4R9F1</t>
  </si>
  <si>
    <t>Heat shock protein OS=Komagataella phaffii (strain GS115 / ATCC 20864) OX=644223 GN=PAS_c034_0029 PE=3 SV=1</t>
  </si>
  <si>
    <t>P78992</t>
  </si>
  <si>
    <t>Pyruvate carboxylase OS=Komagataella pastoris OX=4922 GN=PYC1 PE=3 SV=1</t>
  </si>
  <si>
    <t>F2QPD4</t>
  </si>
  <si>
    <t>Dipeptidyl peptidase 3 OS=Komagataella phaffii (strain ATCC 76273 / CBS 7435 / CECT 11047 / NRRL Y-11430 / Wegner 21-1) OX=981350 GN=PP7435_Chr1-1132 PE=3 SV=1</t>
  </si>
  <si>
    <t>C4QY66</t>
  </si>
  <si>
    <t>Dipeptidyl peptidase 3 OS=Komagataella phaffii (strain GS115 / ATCC 20864) OX=644223 GN=PAS_chr1-4_0347 PE=3 SV=1</t>
  </si>
  <si>
    <t>O74247</t>
  </si>
  <si>
    <t>Inositol-3-phosphate synthase OS=Komagataella pastoris OX=4922 GN=INO1 PE=3 SV=1</t>
  </si>
  <si>
    <t>F2QQY8</t>
  </si>
  <si>
    <t>Inositol-3-phosphate synthase OS=Komagataella phaffii (strain ATCC 76273 / CBS 7435 / CECT 11047 / NRRL Y-11430 / Wegner 21-1) OX=981350 GN=INO1 PE=3 SV=1</t>
  </si>
  <si>
    <t>C4R2T9</t>
  </si>
  <si>
    <t>Inositol-3-phosphate synthase OS=Komagataella phaffii (strain GS115 / ATCC 20864) OX=644223 GN=PAS_chr2-2_0113 PE=3 SV=1</t>
  </si>
  <si>
    <t>A0A1B2JD79</t>
  </si>
  <si>
    <t>A0A1B2JES7</t>
  </si>
  <si>
    <t>BA75_04326T0 OS=Komagataella pastoris OX=4922 GN=SSE1 PE=3 SV=1</t>
  </si>
  <si>
    <t>A0A1B2J7B3</t>
  </si>
  <si>
    <t>BA75_01516T0 OS=Komagataella pastoris OX=4922 GN=SSZ1 PE=3 SV=1</t>
  </si>
  <si>
    <t>Q0MVP3</t>
  </si>
  <si>
    <t>Carboxylic ester hydrolase OS=Geotrichum candidum OX=1173061 PE=3 SV=1</t>
  </si>
  <si>
    <t>F2QYN7</t>
  </si>
  <si>
    <t>Phosphotransferase OS=Komagataella phaffii (strain ATCC 76273 / CBS 7435 / CECT 11047 / NRRL Y-11430 / Wegner 21-1) OX=981350 GN=GLK1 PE=3 SV=1</t>
  </si>
  <si>
    <t>C4R8F9</t>
  </si>
  <si>
    <t>Phosphotransferase OS=Komagataella phaffii (strain GS115 / ATCC 20864) OX=644223 GN=PAS_chr4_0624 PE=3 SV=1</t>
  </si>
  <si>
    <t>F2QWD0</t>
  </si>
  <si>
    <t>Glucose-6-phosphate isomerase OS=Komagataella phaffii (strain ATCC 76273 / CBS 7435 / CECT 11047 / NRRL Y-11430 / Wegner 21-1) OX=981350 GN=PGI1 PE=3 SV=1</t>
  </si>
  <si>
    <t>C4R4L7</t>
  </si>
  <si>
    <t>Glucose-6-phosphate isomerase OS=Komagataella phaffii (strain GS115 / ATCC 20864) OX=644223 GN=PAS_chr3_0456 PE=3 SV=1</t>
  </si>
  <si>
    <t>A0A1B2JA75</t>
  </si>
  <si>
    <t>BA75_02652T0 OS=Komagataella pastoris OX=4922 GN=STI1 PE=4 SV=1</t>
  </si>
  <si>
    <t>A0A1B2J895</t>
  </si>
  <si>
    <t>Dipeptidyl peptidase 3 OS=Komagataella pastoris OX=4922 GN=YOL057W PE=3 SV=1</t>
  </si>
  <si>
    <t>A0A1B2JHD1</t>
  </si>
  <si>
    <t>Endoplasmic reticulum chaperone BIP OS=Komagataella pastoris OX=4922 GN=KAR2 PE=3 SV=1</t>
  </si>
  <si>
    <t>Q56D08</t>
  </si>
  <si>
    <t>C4QZS3</t>
  </si>
  <si>
    <t>Endoplasmic reticulum chaperone BIP OS=Komagataella phaffii (strain GS115 / ATCC 20864) OX=644223 GN=PAS_chr2-1_0140 PE=3 SV=1</t>
  </si>
  <si>
    <t>A0A1B2J519</t>
  </si>
  <si>
    <t>Glucose-6-phosphate isomerase OS=Komagataella pastoris OX=4922 GN=PGI1 PE=3 SV=1</t>
  </si>
  <si>
    <t>F2QV84</t>
  </si>
  <si>
    <t>Dihydroxyacetone kinase OS=Komagataella phaffii (strain ATCC 76273 / CBS 7435 / CECT 11047 / NRRL Y-11430 / Wegner 21-1) OX=981350 GN=DAK2 PE=3 SV=1</t>
  </si>
  <si>
    <t>C4R5Q6</t>
  </si>
  <si>
    <t>Dihydroxyacetone kinase OS=Komagataella phaffii (strain GS115 / ATCC 20864) OX=644223 GN=PAS_chr3_0841 PE=3 SV=1</t>
  </si>
  <si>
    <t>O74192</t>
  </si>
  <si>
    <t>Dihydroxyacetone kinase OS=Komagataella pastoris OX=4922 GN=DAK PE=3 SV=1</t>
  </si>
  <si>
    <t>F2QPT5</t>
  </si>
  <si>
    <t>40S ribosomal protein S15 OS=Komagataella phaffii (strain ATCC 76273 / CBS 7435 / CECT 11047 / NRRL Y-11430 / Wegner 21-1) OX=981350 GN=RPS15 PE=3 SV=1</t>
  </si>
  <si>
    <t>C4QYM1</t>
  </si>
  <si>
    <t>Protein component of the small (40S) ribosomal subunit OS=Komagataella phaffii (strain GS115 / ATCC 20864) OX=644223 GN=PAS_chr1-4_0491 PE=3 SV=1</t>
  </si>
  <si>
    <t>A0A1B2JG85</t>
  </si>
  <si>
    <t>BA75_04046T0 OS=Komagataella pastoris OX=4922 GN=RPS15 PE=3 SV=1</t>
  </si>
  <si>
    <t>A0A1B2JGQ7</t>
  </si>
  <si>
    <t>Dihydroxyacetone kinase OS=Komagataella pastoris OX=4922 GN=DAK2 PE=3 SV=1</t>
  </si>
  <si>
    <t>F2QMB2</t>
  </si>
  <si>
    <t>Ubiquinol cytochrome-c reductase complex core subunit OS=Komagataella phaffii (strain ATCC 76273 / CBS 7435 / CECT 11047 / NRRL Y-11430 / Wegner 21-1) OX=981350 GN=COR1 PE=4 SV=1</t>
  </si>
  <si>
    <t>C4QW38</t>
  </si>
  <si>
    <t>Core subunit of the ubiquinol-cytochrome c reductase complex (Bc1 complex) OS=Komagataella phaffii (strain GS115 / ATCC 20864) OX=644223 GN=PAS_chr1-1_0099 PE=4 SV=1</t>
  </si>
  <si>
    <t>A0A1B2JA94</t>
  </si>
  <si>
    <t>BA75_02497T0 OS=Komagataella pastoris OX=4922 GN=ADE17 PE=3 SV=1</t>
  </si>
  <si>
    <t>F2QP92</t>
  </si>
  <si>
    <t>acetyl-CoA C-acetyltransferase OS=Komagataella phaffii (strain ATCC 76273 / CBS 7435 / CECT 11047 / NRRL Y-11430 / Wegner 21-1) OX=981350 GN=ERG10 PE=3 SV=1</t>
  </si>
  <si>
    <t>C4QY22</t>
  </si>
  <si>
    <t>acetyl-CoA C-acetyltransferase OS=Komagataella phaffii (strain GS115 / ATCC 20864) OX=644223 GN=PAS_chr1-4_0304 PE=3 SV=1</t>
  </si>
  <si>
    <t>A0A1B2J708</t>
  </si>
  <si>
    <t>acetyl-CoA C-acetyltransferase OS=Komagataella pastoris OX=4922 GN=ERG10 PE=3 SV=1</t>
  </si>
  <si>
    <t>C4QW10</t>
  </si>
  <si>
    <t>RNA polymerase II degradation factor 1 OS=Komagataella phaffii (strain GS115 / ATCC 20864) OX=644223 GN=PAS_chr1-1_0470 PE=3 SV=1</t>
  </si>
  <si>
    <t>A0A1G4KP61</t>
  </si>
  <si>
    <t>RNA polymerase II degradation factor 1 OS=Komagataella phaffii (strain ATCC 76273 / CBS 7435 / CECT 11047 / NRRL Y-11430 / Wegner 21-1) OX=981350 GN=PP7435_Chr1-1994 PE=3 SV=1</t>
  </si>
  <si>
    <t>F2QSD0</t>
  </si>
  <si>
    <t>Enzyme of 'de novo' purine biosynthesis OS=Komagataella phaffii (strain ATCC 76273 / CBS 7435 / CECT 11047 / NRRL Y-11430 / Wegner 21-1) OX=981350 GN=ADE17 PE=3 SV=1</t>
  </si>
  <si>
    <t>F2QQR8</t>
  </si>
  <si>
    <t>Dihydrolipoyl dehydrogenase OS=Komagataella phaffii (strain ATCC 76273 / CBS 7435 / CECT 11047 / NRRL Y-11430 / Wegner 21-1) OX=981350 GN=LPD1 PE=3 SV=1</t>
  </si>
  <si>
    <t>C4R312</t>
  </si>
  <si>
    <t>Dihydrolipoyl dehydrogenase OS=Komagataella phaffii (strain GS115 / ATCC 20864) OX=644223 GN=PAS_chr2-2_0048 PE=3 SV=1</t>
  </si>
  <si>
    <t>A0A1B2J717</t>
  </si>
  <si>
    <t>BA75_01834T0 OS=Komagataella pastoris OX=4922 GN=ATY40_BA7501834 PE=3 SV=1</t>
  </si>
  <si>
    <t>A0A1B2JDD5</t>
  </si>
  <si>
    <t>Dihydrolipoyl dehydrogenase OS=Komagataella pastoris OX=4922 GN=ATY40_BA7501913 PE=3 SV=1</t>
  </si>
  <si>
    <t>F2QS90</t>
  </si>
  <si>
    <t>Sulfurtransferase OS=Komagataella phaffii (strain ATCC 76273 / CBS 7435 / CECT 11047 / NRRL Y-11430 / Wegner 21-1) OX=981350 GN=TUM1 PE=4 SV=1</t>
  </si>
  <si>
    <t>C4R1H2</t>
  </si>
  <si>
    <t>Rhodanese domain-containing protein OS=Komagataella phaffii (strain GS115 / ATCC 20864) OX=644223 GN=PAS_chr2-1_0698 PE=4 SV=1</t>
  </si>
  <si>
    <t>F2QY05</t>
  </si>
  <si>
    <t>Protein disulfide-isomerase OS=Komagataella phaffii (strain ATCC 76273 / CBS 7435 / CECT 11047 / NRRL Y-11430 / Wegner 21-1) OX=981350 GN=PDI1 PE=3 SV=1</t>
  </si>
  <si>
    <t>B3VSN1</t>
  </si>
  <si>
    <t>Protein disulfide-isomerase OS=Komagataella pastoris OX=4922 GN=PDI PE=3 SV=1</t>
  </si>
  <si>
    <t>F2QN44</t>
  </si>
  <si>
    <t>BAG domain-containing protein OS=Komagataella phaffii (strain ATCC 76273 / CBS 7435 / CECT 11047 / NRRL Y-11430 / Wegner 21-1) OX=981350 GN=PP7435_Chr1-0863 PE=4 SV=1</t>
  </si>
  <si>
    <t>C4QXE7</t>
  </si>
  <si>
    <t>BAG domain-containing protein OS=Komagataella phaffii (strain GS115 / ATCC 20864) OX=644223 GN=PAS_chr1-4_0091 PE=4 SV=1</t>
  </si>
  <si>
    <t>Q9C1Z8</t>
  </si>
  <si>
    <t>Protein disulfide-isomerase OS=Komagataella pastoris OX=4922 GN=pdi PE=3 SV=1</t>
  </si>
  <si>
    <t>F2R076</t>
  </si>
  <si>
    <t>Uncharacterized protein OS=Komagataella phaffii (strain ATCC 76273 / CBS 7435 / CECT 11047 / NRRL Y-11430 / Wegner 21-1) OX=981350 GN=PP7435_Chr4-0903 PE=4 SV=1</t>
  </si>
  <si>
    <t>C4R6W4</t>
  </si>
  <si>
    <t>Uncharacterized protein OS=Komagataella phaffii (strain GS115 / ATCC 20864) OX=644223 GN=PAS_chr4_0114 PE=4 SV=1</t>
  </si>
  <si>
    <t>A0A1B2J7Q8</t>
  </si>
  <si>
    <t>RNA polymerase II degradation factor 1 OS=Komagataella pastoris OX=4922 GN=DEF1 PE=3 SV=1</t>
  </si>
  <si>
    <t>F2QPL3</t>
  </si>
  <si>
    <t>40S ribosomal protein S9-B OS=Komagataella phaffii (strain ATCC 76273 / CBS 7435 / CECT 11047 / NRRL Y-11430 / Wegner 21-1) OX=981350 GN=RPS9B PE=3 SV=1</t>
  </si>
  <si>
    <t>C4QYE8</t>
  </si>
  <si>
    <t>40S small ribosomal subunit OS=Komagataella phaffii (strain GS115 / ATCC 20864) OX=644223 GN=PAS_chr1-4_0422 PE=3 SV=1</t>
  </si>
  <si>
    <t>A0A1B2JE49</t>
  </si>
  <si>
    <t>BA75_03965T0 OS=Komagataella pastoris OX=4922 GN=RPS9A PE=3 SV=1</t>
  </si>
  <si>
    <t>C4R1D1</t>
  </si>
  <si>
    <t>Enzyme of 'de novo' purine biosynthesis OS=Komagataella phaffii (strain GS115 / ATCC 20864) OX=644223 GN=PAS_chr2-1_0660 PE=3 SV=1</t>
  </si>
  <si>
    <t>A0A1B2J7W3</t>
  </si>
  <si>
    <t>Amino-acid acetyltransferase_ mitochondrial OS=Komagataella pastoris OX=4922 GN=ARG2 PE=3 SV=1</t>
  </si>
  <si>
    <t>C4R3A6</t>
  </si>
  <si>
    <t>Zn(2)-C6 fungal-type domain-containing protein OS=Komagataella phaffii (strain GS115 / ATCC 20864) OX=644223 GN=PAS_chr3_0012 PE=4 SV=1</t>
  </si>
  <si>
    <t>C4QX08</t>
  </si>
  <si>
    <t>Uncharacterized protein OS=Komagataella phaffii (strain GS115 / ATCC 20864) OX=644223 GN=PAS_chr1-1_0404 PE=4 SV=1</t>
  </si>
  <si>
    <t>A0A1G4KPB2</t>
  </si>
  <si>
    <t>Uncharacterized protein OS=Komagataella phaffii (strain ATCC 76273 / CBS 7435 / CECT 11047 / NRRL Y-11430 / Wegner 21-1) OX=981350 GN=PP7435_Chr1-2368 PE=4 SV=1</t>
  </si>
  <si>
    <t>A0A1B2JB62</t>
  </si>
  <si>
    <t>Transaldolase OS=Komagataella pastoris OX=4922 GN=ATY40_BA7502232 PE=3 SV=1</t>
  </si>
  <si>
    <t>F2QQ55</t>
  </si>
  <si>
    <t>aromatic-amino-acid transaminase OS=Komagataella phaffii (strain ATCC 76273 / CBS 7435 / CECT 11047 / NRRL Y-11430 / Wegner 21-1) OX=981350 GN=ARO8 PE=3 SV=1</t>
  </si>
  <si>
    <t>C4QYZ3</t>
  </si>
  <si>
    <t>aromatic-amino-acid transaminase OS=Komagataella phaffii (strain GS115 / ATCC 20864) OX=644223 GN=PAS_chr1-4_0608 PE=3 SV=1</t>
  </si>
  <si>
    <t>F2QQV4</t>
  </si>
  <si>
    <t>ADP-ribosylation factor-like protein 3 OS=Komagataella phaffii (strain ATCC 76273 / CBS 7435 / CECT 11047 / NRRL Y-11430 / Wegner 21-1) OX=981350 GN=ARL3 PE=4 SV=2</t>
  </si>
  <si>
    <t>C4R2X7</t>
  </si>
  <si>
    <t>GTPase of the Ras superfamily required to recruit Arl1p to the Golgi OS=Komagataella phaffii (strain GS115 / ATCC 20864) OX=644223 GN=PAS_chr2-2_0078 PE=4 SV=1</t>
  </si>
  <si>
    <t>A0A1B2JBV0</t>
  </si>
  <si>
    <t>BA75_01950T0 OS=Komagataella pastoris OX=4922 GN=ARL3 PE=4 SV=1</t>
  </si>
  <si>
    <t>F2QXP2</t>
  </si>
  <si>
    <t>Transcription factor domain-containing protein OS=Komagataella phaffii (strain ATCC 76273 / CBS 7435 / CECT 11047 / NRRL Y-11430 / Wegner 21-1) OX=981350 GN=PP7435_Chr3-1230 PE=4 SV=1</t>
  </si>
  <si>
    <t>F2QUG8</t>
  </si>
  <si>
    <t>Aspartate protease OS=Komagataella phaffii (strain ATCC 76273 / CBS 7435 / CECT 11047 / NRRL Y-11430 / Wegner 21-1) OX=981350 GN=PEP4 PE=3 SV=1</t>
  </si>
  <si>
    <t>A0A1B2JF94</t>
  </si>
  <si>
    <t>Aspartate protease OS=Komagataella pastoris OX=4922 GN=PEP4 PE=3 SV=1</t>
  </si>
  <si>
    <t>C4R6G8</t>
  </si>
  <si>
    <t>Aspartate protease OS=Komagataella phaffii (strain GS115 / ATCC 20864) OX=644223 GN=PAS_chr3_1087 PE=3 SV=1</t>
  </si>
  <si>
    <t>F2QPR6</t>
  </si>
  <si>
    <t>Meiotic anaphase promoting complex activator OS=Komagataella phaffii (strain ATCC 76273 / CBS 7435 / CECT 11047 / NRRL Y-11430 / Wegner 21-1) OX=981350 GN=AMA1 PE=3 SV=1</t>
  </si>
  <si>
    <t>C4QYK2</t>
  </si>
  <si>
    <t>Meiosis-specific APC/C activator protein AMA1 OS=Komagataella phaffii (strain GS115 / ATCC 20864) OX=644223 GN=PAS_chr1-4_0473 PE=3 SV=1</t>
  </si>
  <si>
    <t>F2QY09</t>
  </si>
  <si>
    <t>Cytoplasmic glutaredoxin OS=Komagataella phaffii (strain ATCC 76273 / CBS 7435 / CECT 11047 / NRRL Y-11430 / Wegner 21-1) OX=981350 GN=GRX2 PE=4 SV=1</t>
  </si>
  <si>
    <t>C4R934</t>
  </si>
  <si>
    <t>Cytoplasmic glutaredoxin_ thioltransferase_ glutathione-dependent disulfide oxidoreductase OS=Komagataella phaffii (strain GS115 / ATCC 20864) OX=644223 GN=PAS_chr4_0840 PE=4 SV=1</t>
  </si>
  <si>
    <t>A0A1B2J8F9</t>
  </si>
  <si>
    <t>60S ribosomal protein L8 OS=Komagataella pastoris OX=4922 GN=ATY40_BA7501321 PE=3 SV=1</t>
  </si>
  <si>
    <t>F2R016</t>
  </si>
  <si>
    <t>E3 ubiquitin-protein ligase OS=Komagataella phaffii (strain ATCC 76273 / CBS 7435 / CECT 11047 / NRRL Y-11430 / Wegner 21-1) OX=981350 GN=BRE1 PE=4 SV=1</t>
  </si>
  <si>
    <t>C4R722</t>
  </si>
  <si>
    <t>E3 ubiquitin protein ligase OS=Komagataella phaffii (strain GS115 / ATCC 20864) OX=644223 GN=PAS_chr4_0172 PE=3 SV=1</t>
  </si>
  <si>
    <t>A0A1G4KQ74</t>
  </si>
  <si>
    <t>Arp2/3 complex 34 kDa subunit OS=Komagataella phaffii (strain ATCC 76273 / CBS 7435 / CECT 11047 / NRRL Y-11430 / Wegner 21-1) OX=981350 GN=ARC35 PE=3 SV=1</t>
  </si>
  <si>
    <t>C4R6K2</t>
  </si>
  <si>
    <t>Arp2/3 complex 34 kDa subunit OS=Komagataella phaffii (strain GS115 / ATCC 20864) OX=644223 GN=PAS_chr3_1121 PE=3 SV=1</t>
  </si>
  <si>
    <t>A0A1G4KP30</t>
  </si>
  <si>
    <t>Cys-Gly metallodipeptidase DUG1 OS=Komagataella phaffii (strain ATCC 76273 / CBS 7435 / CECT 11047 / NRRL Y-11430 / Wegner 21-1) OX=981350 GN=DUG1 PE=3 SV=1</t>
  </si>
  <si>
    <t>F2QTZ2</t>
  </si>
  <si>
    <t>T-complex protein 1 subunit alpha OS=Komagataella phaffii (strain ATCC 76273 / CBS 7435 / CECT 11047 / NRRL Y-11430 / Wegner 21-1) OX=981350 GN=TCP1 PE=3 SV=1</t>
  </si>
  <si>
    <t>C4QZP3</t>
  </si>
  <si>
    <t>T-complex protein 1 subunit alpha OS=Komagataella phaffii (strain GS115 / ATCC 20864) OX=644223 GN=PAS_chr2-1_0113 PE=3 SV=1</t>
  </si>
  <si>
    <t>A0A1B2JJ35</t>
  </si>
  <si>
    <t>T-complex protein 1 subunit alpha OS=Komagataella pastoris OX=4922 GN=TCP1 PE=3 SV=1</t>
  </si>
  <si>
    <t>A0A1B2JEQ2</t>
  </si>
  <si>
    <t>aromatic-amino-acid transaminase OS=Komagataella pastoris OX=4922 GN=ARO8 PE=3 SV=1</t>
  </si>
  <si>
    <t>F2QRM0</t>
  </si>
  <si>
    <t>Probable electron transfer flavoprotein subunit alpha OS=Komagataella phaffii (strain ATCC 76273 / CBS 7435 / CECT 11047 / NRRL Y-11430 / Wegner 21-1) OX=981350 GN=AIM45 PE=3 SV=1</t>
  </si>
  <si>
    <t>C4R248</t>
  </si>
  <si>
    <t>Probable electron transfer flavoprotein subunit alpha OS=Komagataella phaffii (strain GS115 / ATCC 20864) OX=644223 GN=PAS_chr2-2_0334 PE=3 SV=1</t>
  </si>
  <si>
    <t>A0A1B2JEX4</t>
  </si>
  <si>
    <t>cystathionine gamma-lyase OS=Komagataella pastoris OX=4922 GN=CYS3 PE=3 SV=1</t>
  </si>
  <si>
    <t>A0A1B2J8G7</t>
  </si>
  <si>
    <t>BA75_00474T0 OS=Komagataella pastoris OX=4922 GN=ATY40_BA7500474 PE=3 SV=1</t>
  </si>
  <si>
    <t>A0A1B2J7I0</t>
  </si>
  <si>
    <t>GMP synthase [glutamine-hydrolyzing] OS=Komagataella pastoris OX=4922 GN=GUA1 PE=3 SV=1</t>
  </si>
  <si>
    <t>A0A1B2JHR7</t>
  </si>
  <si>
    <t>Riboflavin kinase OS=Komagataella pastoris OX=4922 GN=FMN1 PE=3 SV=1</t>
  </si>
  <si>
    <t>C4R6J9</t>
  </si>
  <si>
    <t>ATP-dependent RNA helicase OS=Komagataella phaffii (strain GS115 / ATCC 20864) OX=644223 GN=PAS_chr3_1118 PE=3 SV=1</t>
  </si>
  <si>
    <t>F2QUE0</t>
  </si>
  <si>
    <t>ATP-dependent RNA helicase OS=Komagataella phaffii (strain ATCC 76273 / CBS 7435 / CECT 11047 / NRRL Y-11430 / Wegner 21-1) OX=981350 GN=DBP6 PE=3 SV=1</t>
  </si>
  <si>
    <t>C4R938</t>
  </si>
  <si>
    <t>Protein disulfide-isomerase OS=Komagataella phaffii (strain GS115 / ATCC 20864) OX=644223 GN=PAS_chr4_0844 PE=3 SV=1</t>
  </si>
  <si>
    <t>A0A1G4KQZ4</t>
  </si>
  <si>
    <t>Chaperonin required for ATP-dependent folding of polypeptides OS=Komagataella phaffii (strain ATCC 76273 / CBS 7435 / CECT 11047 / NRRL Y-11430 / Wegner 21-1) OX=981350 GN=HSP60 PE=3 SV=1</t>
  </si>
  <si>
    <t>A0A1B2JCH2</t>
  </si>
  <si>
    <t>BA75_03159T0 OS=Komagataella pastoris OX=4922 GN=HSP60 PE=3 SV=1</t>
  </si>
  <si>
    <t>C4R708</t>
  </si>
  <si>
    <t>Tetradecameric mitochondrial chaperonin OS=Komagataella phaffii (strain GS115 / ATCC 20864) OX=644223 GN=PAS_chr4_0158 PE=3 SV=1</t>
  </si>
  <si>
    <t>C4QVB5</t>
  </si>
  <si>
    <t>Cys-Gly metallodipeptidase DUG1 OS=Komagataella phaffii (strain GS115 / ATCC 20864) OX=644223 GN=PAS_chr1-3_0128 PE=3 SV=1</t>
  </si>
  <si>
    <t>F2QNC4</t>
  </si>
  <si>
    <t>GMP synthase [glutamine-hydrolyzing] OS=Komagataella phaffii (strain ATCC 76273 / CBS 7435 / CECT 11047 / NRRL Y-11430 / Wegner 21-1) OX=981350 GN=GUA1 PE=3 SV=1</t>
  </si>
  <si>
    <t>C4QVI1</t>
  </si>
  <si>
    <t>GMP synthase [glutamine-hydrolyzing] OS=Komagataella phaffii (strain GS115 / ATCC 20864) OX=644223 GN=PAS_chr1-3_0191 PE=3 SV=1</t>
  </si>
  <si>
    <t>F2QV35</t>
  </si>
  <si>
    <t>26S proteasome regulatory subunit 6B homolog OS=Komagataella phaffii (strain ATCC 76273 / CBS 7435 / CECT 11047 / NRRL Y-11430 / Wegner 21-1) OX=981350 GN=RPT3 PE=3 SV=1</t>
  </si>
  <si>
    <t>C4R5V2</t>
  </si>
  <si>
    <t>26S proteasome regulatory subunit 6B homolog OS=Komagataella phaffii (strain GS115 / ATCC 20864) OX=644223 GN=PAS_chr3_0881 PE=3 SV=1</t>
  </si>
  <si>
    <t>A0A1B2JGG8</t>
  </si>
  <si>
    <t>26S proteasome regulatory subunit 6B homolog OS=Komagataella pastoris OX=4922 GN=ATY40_BA7503629 PE=3 SV=1</t>
  </si>
  <si>
    <t>F2QUU2</t>
  </si>
  <si>
    <t>Divalent metal ion transporter OS=Komagataella phaffii (strain ATCC 76273 / CBS 7435 / CECT 11047 / NRRL Y-11430 / Wegner 21-1) OX=981350 GN=SMF1 PE=3 SV=1</t>
  </si>
  <si>
    <t>C4R649</t>
  </si>
  <si>
    <t>Divalent metal ion transporter with a broad specificity for di-valent and tri-valent metals OS=Komagataella phaffii (strain GS115 / ATCC 20864) OX=644223 GN=PAS_chr3_0971 PE=3 SV=1</t>
  </si>
  <si>
    <t>C4QYA2</t>
  </si>
  <si>
    <t>1-phosphatidylinositol 4-kinase OS=Komagataella phaffii (strain GS115 / ATCC 20864) OX=644223 GN=PAS_chr1-4_0380 PE=3 SV=1</t>
  </si>
  <si>
    <t>A0A1B2J6I8</t>
  </si>
  <si>
    <t>Dolichol-phosphate mannosyltransferase subunit 1 OS=Komagataella pastoris OX=4922 GN=DPM1 PE=3 SV=1</t>
  </si>
  <si>
    <t>Q2PFD9</t>
  </si>
  <si>
    <t>1-phosphatidylinositol 4-kinase OS=Komagataella pastoris OX=4922 GN=PIK1 PE=3 SV=1</t>
  </si>
  <si>
    <t>F2QPG9</t>
  </si>
  <si>
    <t>1-phosphatidylinositol 4-kinase OS=Komagataella phaffii (strain ATCC 76273 / CBS 7435 / CECT 11047 / NRRL Y-11430 / Wegner 21-1) OX=981350 GN=PIK1 PE=3 SV=1</t>
  </si>
  <si>
    <t>A0A1B2J9V5</t>
  </si>
  <si>
    <t>A0A1B2JG42</t>
  </si>
  <si>
    <t>BA75_03940T0 OS=Komagataella pastoris OX=4922 GN=VBA5 PE=3 SV=1</t>
  </si>
  <si>
    <t>F2QW17</t>
  </si>
  <si>
    <t>DNA-directed RNA polymerase subunit OS=Komagataella phaffii (strain ATCC 76273 / CBS 7435 / CECT 11047 / NRRL Y-11430 / Wegner 21-1) OX=981350 GN=RPO21 PE=3 SV=1</t>
  </si>
  <si>
    <t>C4R4Y0</t>
  </si>
  <si>
    <t>DNA-directed RNA polymerase subunit OS=Komagataella phaffii (strain GS115 / ATCC 20864) OX=644223 GN=PAS_chr3_0568 PE=1 SV=1</t>
  </si>
  <si>
    <t>F2QRA3</t>
  </si>
  <si>
    <t>RING-type domain-containing protein OS=Komagataella phaffii (strain ATCC 76273 / CBS 7435 / CECT 11047 / NRRL Y-11430 / Wegner 21-1) OX=981350 GN=PP7435_Chr2-0235 PE=4 SV=1</t>
  </si>
  <si>
    <t>C4R2G9</t>
  </si>
  <si>
    <t>RING-type domain-containing protein OS=Komagataella phaffii (strain GS115 / ATCC 20864) OX=644223 GN=PAS_chr2-2_0223 PE=4 SV=1</t>
  </si>
  <si>
    <t>A0A1B2J8C6</t>
  </si>
  <si>
    <t>DNA-directed RNA polymerase subunit OS=Komagataella pastoris OX=4922 GN=RPO21 PE=3 SV=1</t>
  </si>
  <si>
    <t>F2QT62</t>
  </si>
  <si>
    <t>F2QXE6</t>
  </si>
  <si>
    <t>C4R3K0</t>
  </si>
  <si>
    <t>F2QZ85</t>
  </si>
  <si>
    <t>C4R7V9</t>
  </si>
  <si>
    <t>A0A1B2JFW3</t>
  </si>
  <si>
    <t>F2QLB5</t>
  </si>
  <si>
    <t>C4QV10</t>
  </si>
  <si>
    <t>O13505</t>
  </si>
  <si>
    <t>F2QY94</t>
  </si>
  <si>
    <t>C4R8V1</t>
  </si>
  <si>
    <t>A0A1B2JIZ2</t>
  </si>
  <si>
    <t>F2QVK8</t>
  </si>
  <si>
    <t>F2QSW4</t>
  </si>
  <si>
    <t>C4R5D4</t>
  </si>
  <si>
    <t>C4R0U2</t>
  </si>
  <si>
    <t>A0A1B2JG11</t>
  </si>
  <si>
    <t>A0A1B2JAS9</t>
  </si>
  <si>
    <t>F2QYC0</t>
  </si>
  <si>
    <t>C4R8S5</t>
  </si>
  <si>
    <t>F2QZT3</t>
  </si>
  <si>
    <t>C4R7A4</t>
  </si>
  <si>
    <t>F2QY67</t>
  </si>
  <si>
    <t>C4R8X6</t>
  </si>
  <si>
    <t>O93813</t>
  </si>
  <si>
    <t>F2QPA2</t>
  </si>
  <si>
    <t>C4QY32</t>
  </si>
  <si>
    <t>F2QW19</t>
  </si>
  <si>
    <t>C4R4X8</t>
  </si>
  <si>
    <t>A0A1B2J8X9</t>
  </si>
  <si>
    <t>A0A1B2JEC7</t>
  </si>
  <si>
    <t>C4R5U7</t>
  </si>
  <si>
    <t>F2QV42</t>
  </si>
  <si>
    <t>A0A1B2JJ27</t>
  </si>
  <si>
    <t>F2QX17</t>
  </si>
  <si>
    <t>A0A1B2J6R3</t>
  </si>
  <si>
    <t>C4R3X5</t>
  </si>
  <si>
    <t>A0A1B2JCC8</t>
  </si>
  <si>
    <t>F2QSU4</t>
  </si>
  <si>
    <t>C4R0W4</t>
  </si>
  <si>
    <t>F2QMV1</t>
  </si>
  <si>
    <t>C4QX51</t>
  </si>
  <si>
    <t>F2QYP8</t>
  </si>
  <si>
    <t>C4R8E8</t>
  </si>
  <si>
    <t>A0A1B2JE18</t>
  </si>
  <si>
    <t>F2QVQ4</t>
  </si>
  <si>
    <t>C4R588</t>
  </si>
  <si>
    <t>C4R1F9</t>
  </si>
  <si>
    <t>F2QSA3</t>
  </si>
  <si>
    <t>A0A1B2J9U2</t>
  </si>
  <si>
    <t>A0A1B2JG41</t>
  </si>
  <si>
    <t>H3K419</t>
  </si>
  <si>
    <t>F2QQ33</t>
  </si>
  <si>
    <t>C4QYX3</t>
  </si>
  <si>
    <t>A0A1B2JHJ8</t>
  </si>
  <si>
    <t>F2QRJ7</t>
  </si>
  <si>
    <t>C4R271</t>
  </si>
  <si>
    <t>A0A1B2JAA7</t>
  </si>
  <si>
    <t>F2QR41</t>
  </si>
  <si>
    <t>C4R2N5</t>
  </si>
  <si>
    <t>U5HT00</t>
  </si>
  <si>
    <t>A0A1B2JC92</t>
  </si>
  <si>
    <t>A0A1B2JI78</t>
  </si>
  <si>
    <t>F2QQ12</t>
  </si>
  <si>
    <t>C4QYV1</t>
  </si>
  <si>
    <t>A0A1B2JFR7</t>
  </si>
  <si>
    <t>F2QW09</t>
  </si>
  <si>
    <t>C4R4Y8</t>
  </si>
  <si>
    <t>A0A1B2J9B0</t>
  </si>
  <si>
    <t>C4R313</t>
  </si>
  <si>
    <t>F2QRR6</t>
  </si>
  <si>
    <t>C4R201</t>
  </si>
  <si>
    <t>F2QWI5</t>
  </si>
  <si>
    <t>C4R4G6</t>
  </si>
  <si>
    <t>A0A1B2JFT9</t>
  </si>
  <si>
    <t>A0A1B2J5F7</t>
  </si>
  <si>
    <t>F2QQR7</t>
  </si>
  <si>
    <t>A0A1B2JCX6</t>
  </si>
  <si>
    <t>F2QVG5</t>
  </si>
  <si>
    <t>C4R5H6</t>
  </si>
  <si>
    <t>F2QTE5</t>
  </si>
  <si>
    <t>C4R099</t>
  </si>
  <si>
    <t>F2QSZ8</t>
  </si>
  <si>
    <t>C4R0Q5</t>
  </si>
  <si>
    <t>F2QSD3</t>
  </si>
  <si>
    <t>C4R1C8</t>
  </si>
  <si>
    <t>A0A1B2JDR1</t>
  </si>
  <si>
    <t>A0A1B2J5Y3</t>
  </si>
  <si>
    <t>A0A1B2JF47</t>
  </si>
  <si>
    <t>A0A1B2JHZ4</t>
  </si>
  <si>
    <t>F2QUW6</t>
  </si>
  <si>
    <t>C4R624</t>
  </si>
  <si>
    <t>A0A1B2JBE4</t>
  </si>
  <si>
    <t>A0A1G4KPI1</t>
  </si>
  <si>
    <t>C4QYQ1</t>
  </si>
  <si>
    <t>I7A0B8</t>
  </si>
  <si>
    <t>F2QQK5</t>
  </si>
  <si>
    <t>C4R9E0</t>
  </si>
  <si>
    <t>A0A1B2J771</t>
  </si>
  <si>
    <t>F2QLQ8</t>
  </si>
  <si>
    <t>C4QXV1</t>
  </si>
  <si>
    <t>F2R058</t>
  </si>
  <si>
    <t>C4R6Y3</t>
  </si>
  <si>
    <t>A0A1B2JC16</t>
  </si>
  <si>
    <t>F2QZF2</t>
  </si>
  <si>
    <t>F2QNT9</t>
  </si>
  <si>
    <t>C4QWG3</t>
  </si>
  <si>
    <t>F2QS58</t>
  </si>
  <si>
    <t>C4R1K3</t>
  </si>
  <si>
    <t>F2R006</t>
  </si>
  <si>
    <t>C4R731</t>
  </si>
  <si>
    <t>A0A1B2JCX4</t>
  </si>
  <si>
    <t>F2QMN9</t>
  </si>
  <si>
    <t>C4QWY6</t>
  </si>
  <si>
    <t>F2QNV7</t>
  </si>
  <si>
    <t>C4QWI2</t>
  </si>
  <si>
    <t>F2QZH5</t>
  </si>
  <si>
    <t>C4R7L7</t>
  </si>
  <si>
    <t>A0A1B2JCH9</t>
  </si>
  <si>
    <t>F2QZN6</t>
  </si>
  <si>
    <t>C4R7F4</t>
  </si>
  <si>
    <t>F2QQY3</t>
  </si>
  <si>
    <t>C4R2U4</t>
  </si>
  <si>
    <t>A0A1B2JAA4</t>
  </si>
  <si>
    <t>C4R0M8</t>
  </si>
  <si>
    <t>A0A1G4KPZ2</t>
  </si>
  <si>
    <t>A0A1B2JD99</t>
  </si>
  <si>
    <t>A0A1B2JHS3</t>
  </si>
  <si>
    <t>C4R1R7</t>
  </si>
  <si>
    <t>A0A1B2JAJ7</t>
  </si>
  <si>
    <t>F2QSD2</t>
  </si>
  <si>
    <t>C4R1C9</t>
  </si>
  <si>
    <t>A0A1B2JA26</t>
  </si>
  <si>
    <t>C4R0F8</t>
  </si>
  <si>
    <t>A0A1B2JA01</t>
  </si>
  <si>
    <t>F2QLU5</t>
  </si>
  <si>
    <t>C4QV50</t>
  </si>
  <si>
    <t>C4R910</t>
  </si>
  <si>
    <t>F2QMJ7</t>
  </si>
  <si>
    <t>C4QWC5</t>
  </si>
  <si>
    <t>A0A1B2J5T7</t>
  </si>
  <si>
    <t>F2QY34</t>
  </si>
  <si>
    <t>A0A1B2J590</t>
  </si>
  <si>
    <t>F2QXR5</t>
  </si>
  <si>
    <t>C4R9C0</t>
  </si>
  <si>
    <t>F2QSL1</t>
  </si>
  <si>
    <t>C4R146</t>
  </si>
  <si>
    <t>A0A1B2J9E0</t>
  </si>
  <si>
    <t>A0A1B2J632</t>
  </si>
  <si>
    <t>F2QP08</t>
  </si>
  <si>
    <t>C4QWN4</t>
  </si>
  <si>
    <t>F2QUK5</t>
  </si>
  <si>
    <t>C4R6D3</t>
  </si>
  <si>
    <t>A0A1B2JG05</t>
  </si>
  <si>
    <t>F2QM24</t>
  </si>
  <si>
    <t>C4QVD0</t>
  </si>
  <si>
    <t>A0A1B2J6K8</t>
  </si>
  <si>
    <t>A0A1B2JD70</t>
  </si>
  <si>
    <t>F2QQI8</t>
  </si>
  <si>
    <t>C4R2J7</t>
  </si>
  <si>
    <t>A0A1B2JB78</t>
  </si>
  <si>
    <t>F2QZA7</t>
  </si>
  <si>
    <t>C4R7T6</t>
  </si>
  <si>
    <t>F2R050</t>
  </si>
  <si>
    <t>C4R6Z0</t>
  </si>
  <si>
    <t>A0A1B2JDM7</t>
  </si>
  <si>
    <t>C4QY78</t>
  </si>
  <si>
    <t>F2QPE5</t>
  </si>
  <si>
    <t>F2QRA8</t>
  </si>
  <si>
    <t>C4R2G4</t>
  </si>
  <si>
    <t>F2QLQ4</t>
  </si>
  <si>
    <t>C4QXU7</t>
  </si>
  <si>
    <t>A0A1B2JHF8</t>
  </si>
  <si>
    <t>F2QTH4</t>
  </si>
  <si>
    <t>C4R072</t>
  </si>
  <si>
    <t>F2QPL4</t>
  </si>
  <si>
    <t>C4QYE9</t>
  </si>
  <si>
    <t>A0A1B2JE28</t>
  </si>
  <si>
    <t>F2QX73</t>
  </si>
  <si>
    <t>C4R3R7</t>
  </si>
  <si>
    <t>A0A1B2JIU0</t>
  </si>
  <si>
    <t>A0A1B2JAD7</t>
  </si>
  <si>
    <t>A0A1G4KQL4</t>
  </si>
  <si>
    <t>A0A1B2J7Z0</t>
  </si>
  <si>
    <t>F2QUM7</t>
  </si>
  <si>
    <t>C4R6B1</t>
  </si>
  <si>
    <t>F2QU21</t>
  </si>
  <si>
    <t>C4QZL3</t>
  </si>
  <si>
    <t>A0A1B2JHF9</t>
  </si>
  <si>
    <t>F2R095</t>
  </si>
  <si>
    <t>C4R6U6</t>
  </si>
  <si>
    <t>A0A1B2JBN4</t>
  </si>
  <si>
    <t>A0A1B2JFK8</t>
  </si>
  <si>
    <t>C4QVT8</t>
  </si>
  <si>
    <t>A0A1B2JAP7</t>
  </si>
  <si>
    <t>F2QNM8</t>
  </si>
  <si>
    <t>A0A1B2JH17</t>
  </si>
  <si>
    <t>F2QZR3</t>
  </si>
  <si>
    <t>C4R7C6</t>
  </si>
  <si>
    <t>A0A1B2JB26</t>
  </si>
  <si>
    <t>Q27YD7</t>
  </si>
  <si>
    <t>F2QM61</t>
  </si>
  <si>
    <t>C4QVY5</t>
  </si>
  <si>
    <t>C4QY10</t>
  </si>
  <si>
    <t>F2QLH6</t>
  </si>
  <si>
    <t>A0A1B2JHQ1</t>
  </si>
  <si>
    <t>F2QU09</t>
  </si>
  <si>
    <t>C4QZM5</t>
  </si>
  <si>
    <t>C4R8W0</t>
  </si>
  <si>
    <t>F2QY84</t>
  </si>
  <si>
    <t>A0A1B2J839</t>
  </si>
  <si>
    <t>O74257</t>
  </si>
  <si>
    <t>Q27YD8</t>
  </si>
  <si>
    <t>F2QQ38</t>
  </si>
  <si>
    <t>C4QYX8</t>
  </si>
  <si>
    <t>A0A1B2J5Q9</t>
  </si>
  <si>
    <t>A0A1B2J6J3</t>
  </si>
  <si>
    <t>C4QV25</t>
  </si>
  <si>
    <t>F2QLS1</t>
  </si>
  <si>
    <t>A0A1B2JD89</t>
  </si>
  <si>
    <t>A0A1B2J610</t>
  </si>
  <si>
    <t>F2QXL8</t>
  </si>
  <si>
    <t>C4R3D1</t>
  </si>
  <si>
    <t>A0A1B2JJ38</t>
  </si>
  <si>
    <t>A0A1B2J6X9</t>
  </si>
  <si>
    <t>F2QXS9</t>
  </si>
  <si>
    <t>C4R9A6</t>
  </si>
  <si>
    <t>A0A1B2JH86</t>
  </si>
  <si>
    <t>C4R0Q4</t>
  </si>
  <si>
    <t>A0A1B2JJB0</t>
  </si>
  <si>
    <t>A0A1G4KPT2</t>
  </si>
  <si>
    <t>A0A1B2JI22</t>
  </si>
  <si>
    <t>A0A1B2J9T9</t>
  </si>
  <si>
    <t>C4R1S2</t>
  </si>
  <si>
    <t>A0A1B2JEM3</t>
  </si>
  <si>
    <t>A0A1B2JI63</t>
  </si>
  <si>
    <t>F2QVX2</t>
  </si>
  <si>
    <t>C4R522</t>
  </si>
  <si>
    <t>A0A1B2J541</t>
  </si>
  <si>
    <t>C4R0P3</t>
  </si>
  <si>
    <t>F2QT10</t>
  </si>
  <si>
    <t>C4R3Z3</t>
  </si>
  <si>
    <t>F2QV20</t>
  </si>
  <si>
    <t>C4R5W7</t>
  </si>
  <si>
    <t>A0A1B2JBG2</t>
  </si>
  <si>
    <t>F2QWY7</t>
  </si>
  <si>
    <t>C4R404</t>
  </si>
  <si>
    <t>A0A1B2J7I7</t>
  </si>
  <si>
    <t>F2QSF5</t>
  </si>
  <si>
    <t>C4R1A3</t>
  </si>
  <si>
    <t>A0A1B2J8A4</t>
  </si>
  <si>
    <t>F2QP29</t>
  </si>
  <si>
    <t>C4QWQ6</t>
  </si>
  <si>
    <t>F2QQF1</t>
  </si>
  <si>
    <t>C4QZ92</t>
  </si>
  <si>
    <t>F2QXR6</t>
  </si>
  <si>
    <t>C4R9B9</t>
  </si>
  <si>
    <t>F2QX88</t>
  </si>
  <si>
    <t>A0A1B2J8M5</t>
  </si>
  <si>
    <t>C4R893</t>
  </si>
  <si>
    <t>F2QZA8</t>
  </si>
  <si>
    <t>C4R7T5</t>
  </si>
  <si>
    <t>A0A1B2JB37</t>
  </si>
  <si>
    <t>F2QZQ1</t>
  </si>
  <si>
    <t>C4R7D7</t>
  </si>
  <si>
    <t>F2QML5</t>
  </si>
  <si>
    <t>C4QWE3</t>
  </si>
  <si>
    <t>F2QYV5</t>
  </si>
  <si>
    <t>F2QTC2</t>
  </si>
  <si>
    <t>C4R0C4</t>
  </si>
  <si>
    <t>F2QN82</t>
  </si>
  <si>
    <t>C4QXJ0</t>
  </si>
  <si>
    <t>C4R5E1</t>
  </si>
  <si>
    <t>A0A1B2JG97</t>
  </si>
  <si>
    <t>A0A1B2JJE0</t>
  </si>
  <si>
    <t>A0A1B2JAP5</t>
  </si>
  <si>
    <t>F2QW18</t>
  </si>
  <si>
    <t>C4R4X9</t>
  </si>
  <si>
    <t>A0A1B2JAB4</t>
  </si>
  <si>
    <t>A0A1B2JBK7</t>
  </si>
  <si>
    <t>C4R057</t>
  </si>
  <si>
    <t>F2QTI7</t>
  </si>
  <si>
    <t>A0A1B2JIH9</t>
  </si>
  <si>
    <t>C4QX52</t>
  </si>
  <si>
    <t>F2QMV2</t>
  </si>
  <si>
    <t>F2QNB2</t>
  </si>
  <si>
    <t>C4QXM0</t>
  </si>
  <si>
    <t>C4R2J8</t>
  </si>
  <si>
    <t>A0A1B2J8L9</t>
  </si>
  <si>
    <t>C4R043</t>
  </si>
  <si>
    <t>F2QTJ9</t>
  </si>
  <si>
    <t>A0A1B2JHQ2</t>
  </si>
  <si>
    <t>A0A1B2JAC3</t>
  </si>
  <si>
    <t>Q9C123</t>
  </si>
  <si>
    <t>F2QZJ5</t>
  </si>
  <si>
    <t>C4R7J7</t>
  </si>
  <si>
    <t>Putative aminopeptidase 2</t>
  </si>
  <si>
    <t>Profilin</t>
  </si>
  <si>
    <t>2-dehydropantolactone reductase (EC 1.1.1.358) (2-dehydropantolactone reductase) (Ketopantoyl-lactone reductase)</t>
  </si>
  <si>
    <t>Phosphoglycerate mutase (EC 5.4.2.11)</t>
  </si>
  <si>
    <t>Inorganic pyrophosphatase (EC 3.6.1.1) (Pyrophosphate phospho-hydrolase)</t>
  </si>
  <si>
    <t>Inorganic pyrophosphatase (EC 3.6.1.1) (Pyrophosphate phospho-hydrolase) (PPase)</t>
  </si>
  <si>
    <t>Polyubiquitin [Cleaved into: Ubiquitin]</t>
  </si>
  <si>
    <t>Ubiquitin</t>
  </si>
  <si>
    <t>BA75_04552T0</t>
  </si>
  <si>
    <t>Ubiquitin-40S ribosomal protein S31</t>
  </si>
  <si>
    <t>Ubiquitin-60S ribosomal protein L40</t>
  </si>
  <si>
    <t>Fusion protein that is cleaved to yield a ribosomal protein of the small (40S) subunit and ubiquitin</t>
  </si>
  <si>
    <t>Fusion protein, identical to Rpl40Bp</t>
  </si>
  <si>
    <t>BA75_03821T0</t>
  </si>
  <si>
    <t>BA75_02689T0</t>
  </si>
  <si>
    <t>NADH-cytochrome b5 reductase (EC 1.6.2.2)</t>
  </si>
  <si>
    <t>Branched-chain-amino-acid aminotransferase (EC 2.6.1.42)</t>
  </si>
  <si>
    <t>Glutamine synthetase (EC 6.3.1.2)</t>
  </si>
  <si>
    <t>Elongation factor 3</t>
  </si>
  <si>
    <t>Farnesyl pyrophosphate synthase (EC 2.5.1.1) (EC 2.5.1.10) ((2E,6E)-farnesyl diphosphate synthase) (Dimethylallyltranstransferase) (Farnesyl diphosphate synthase) (Geranyltranstransferase)</t>
  </si>
  <si>
    <t>phosphoserine transaminase (EC 2.6.1.52)</t>
  </si>
  <si>
    <t>Phosphoserine aminotransferase (EC 2.6.1.52)</t>
  </si>
  <si>
    <t>S-adenosylmethionine synthase (EC 2.5.1.6)</t>
  </si>
  <si>
    <t>Primary protein component of eisosomes</t>
  </si>
  <si>
    <t>BA75_00233T0</t>
  </si>
  <si>
    <t>Primary component of eisosomes</t>
  </si>
  <si>
    <t>Aldehyde dehydrogenase</t>
  </si>
  <si>
    <t>Aldehyde dehydrogenase domain-containing protein</t>
  </si>
  <si>
    <t>Saccharopine dehydrogenase [NAD(+), L-lysine-forming] (SDH) (EC 1.5.1.7) (Lysine--2-oxoglutarate reductase)</t>
  </si>
  <si>
    <t>Adenylosuccinate synthetase (AMPSase) (AdSS) (EC 6.3.4.4) (IMP--aspartate ligase)</t>
  </si>
  <si>
    <t>Small ribosomal subunit protein uS5 (40S ribosomal protein S2)</t>
  </si>
  <si>
    <t>asparagine synthase (glutamine-hydrolyzing) (EC 6.3.5.4)</t>
  </si>
  <si>
    <t>Uncharacterized protein</t>
  </si>
  <si>
    <t>BA75_04131T0</t>
  </si>
  <si>
    <t>Glucanase (EC 3.2.1.-)</t>
  </si>
  <si>
    <t>Protein disulfide-isomerase (EC 5.3.4.1)</t>
  </si>
  <si>
    <t>3-hydroxyanthranilate 3,4-dioxygenase (EC 1.13.11.6) (3-hydroxyanthranilate oxygenase) (3-HAO) (3-hydroxyanthranilic acid dioxygenase) (HAD) (Biosynthesis of nicotinic acid protein 1)</t>
  </si>
  <si>
    <t>ATP synthase subunit beta (EC 7.1.2.2)</t>
  </si>
  <si>
    <t>rhizopuspepsin (EC 3.4.23.21)</t>
  </si>
  <si>
    <t>BA75_03776T0</t>
  </si>
  <si>
    <t>ATP synthase subunit alpha</t>
  </si>
  <si>
    <t>Major facilitator superfamily (MFS) profile domain-containing protein</t>
  </si>
  <si>
    <t>Aminopeptidase (EC 3.4.11.-)</t>
  </si>
  <si>
    <t>Acetyl-coenzyme A synthetase (EC 6.2.1.1)</t>
  </si>
  <si>
    <t>Protein-lysine N-methyltransferase EFM5 (EC 2.1.1.-) (Elongation factor methyltransferase 5)</t>
  </si>
  <si>
    <t>Putative allantoate permease</t>
  </si>
  <si>
    <t>Glucose-6-phosphate 1-dehydrogenase (EC 1.1.1.49)</t>
  </si>
  <si>
    <t>40S ribosomal protein S5</t>
  </si>
  <si>
    <t>Protein component of the small (40S) ribosomal subunit</t>
  </si>
  <si>
    <t>2-oxoglutarate reductase (EC 1.1.1.399) (EC 1.1.1.95)</t>
  </si>
  <si>
    <t>Mediator of RNA polymerase II transcription subunit 10 (Mediator complex subunit 10)</t>
  </si>
  <si>
    <t>Lysine--tRNA ligase (EC 6.1.1.6) (Lysyl-tRNA synthetase)</t>
  </si>
  <si>
    <t>BA75_02726T0</t>
  </si>
  <si>
    <t>RNA polymerase II subunit A C-terminal domain phosphatase SSU72 (CTD phosphatase SSU72) (EC 3.1.3.16)</t>
  </si>
  <si>
    <t>DNA-directed RNA polymerase subunit (EC 2.7.7.6)</t>
  </si>
  <si>
    <t>Enoyl reductase (ER) domain-containing protein</t>
  </si>
  <si>
    <t>Alcohol dehydrogenase</t>
  </si>
  <si>
    <t>BA75_00608T0</t>
  </si>
  <si>
    <t>60S ribosomal protein L34-A</t>
  </si>
  <si>
    <t>Protein component of the large (60S) ribosomal subunit, nearly identical to Rpl34Bp</t>
  </si>
  <si>
    <t>60S ribosomal protein L6-B</t>
  </si>
  <si>
    <t>Protein component of the large (60S) ribosomal subunit</t>
  </si>
  <si>
    <t>BA75_03187T0</t>
  </si>
  <si>
    <t>60S ribosomal protein L8</t>
  </si>
  <si>
    <t>60S ribosomal protein L28</t>
  </si>
  <si>
    <t>60S ribosomal protein L31-B</t>
  </si>
  <si>
    <t>BA75_03132T0</t>
  </si>
  <si>
    <t>60S ribosomal protein L9-B</t>
  </si>
  <si>
    <t>Protein component of the large (60S) ribosomal subunit, nearly identical to Rpl9Ap</t>
  </si>
  <si>
    <t>60S ribosomal protein L9-A</t>
  </si>
  <si>
    <t>40S ribosomal protein S23-A</t>
  </si>
  <si>
    <t>Ribosomal protein 28 (Rp28) of the small (40S) ribosomal subunit</t>
  </si>
  <si>
    <t>BA75_02940T0</t>
  </si>
  <si>
    <t>40S ribosomal protein S24</t>
  </si>
  <si>
    <t>60S ribosomal protein L17-B</t>
  </si>
  <si>
    <t>BA75_01981T0</t>
  </si>
  <si>
    <t>Histone H2A</t>
  </si>
  <si>
    <t>BA75_04630T0</t>
  </si>
  <si>
    <t>BA75_02362T0</t>
  </si>
  <si>
    <t>Ribosomal protein L15</t>
  </si>
  <si>
    <t>40S ribosomal protein S26</t>
  </si>
  <si>
    <t>60S acidic ribosomal protein P0</t>
  </si>
  <si>
    <t>Large ribosomal subunit protein uL23 (60S ribosomal protein L25)</t>
  </si>
  <si>
    <t>Ribosomal protein</t>
  </si>
  <si>
    <t>BA75_01150T0</t>
  </si>
  <si>
    <t>40S ribosomal protein S10-A</t>
  </si>
  <si>
    <t>40S ribosomal protein S11-B</t>
  </si>
  <si>
    <t>BA75_01303T0</t>
  </si>
  <si>
    <t>BA75_00826T0</t>
  </si>
  <si>
    <t>40S ribosomal protein S27-A</t>
  </si>
  <si>
    <t>60S ribosomal protein L32</t>
  </si>
  <si>
    <t>Protein component of the large (60S) ribosomal subunit, has similarity to rat L32 ribosomal protein</t>
  </si>
  <si>
    <t>BA75_03446T0</t>
  </si>
  <si>
    <t>60S ribosomal protein L23-A</t>
  </si>
  <si>
    <t>60S ribosomal protein L23-B</t>
  </si>
  <si>
    <t>Small ribosomal subunit protein uS17 (40S ribosomal protein S11)</t>
  </si>
  <si>
    <t>Histone H3</t>
  </si>
  <si>
    <t>60S ribosomal protein P1-alpha</t>
  </si>
  <si>
    <t>Ribosomal stalk protein P1 alpha</t>
  </si>
  <si>
    <t>Large ribosomal subunit protein uL3 (60S ribosomal protein L3)</t>
  </si>
  <si>
    <t>Protein associated with the mitochondrial nucleoid</t>
  </si>
  <si>
    <t>Putative ribosomal protein, mitochondrial</t>
  </si>
  <si>
    <t>60S ribosomal protein L6-A</t>
  </si>
  <si>
    <t>40S ribosomal protein S28-A (40S ribosomal protein S28-B)</t>
  </si>
  <si>
    <t>BA75_04938T0</t>
  </si>
  <si>
    <t>Ribosome-associated chaperone</t>
  </si>
  <si>
    <t>Cytosolic ribosome-associated chaperone</t>
  </si>
  <si>
    <t>60S ribosomal protein L21-B</t>
  </si>
  <si>
    <t>60S ribosomal protein L21</t>
  </si>
  <si>
    <t>BA75_03966T0</t>
  </si>
  <si>
    <t>Putative curved DNA-binding protein</t>
  </si>
  <si>
    <t>Peptidase M24 domain-containing protein</t>
  </si>
  <si>
    <t>BA75_04978T0</t>
  </si>
  <si>
    <t>Ribosomal 60S subunit protein L27B</t>
  </si>
  <si>
    <t>BA75_00158T0</t>
  </si>
  <si>
    <t>DUF1014-domain-containing protein</t>
  </si>
  <si>
    <t>60S ribosomal protein L24-B</t>
  </si>
  <si>
    <t>Ribosomal protein L30 of the large (60S) ribosomal subunit, nearly identical to Rpl24Ap and has simi</t>
  </si>
  <si>
    <t>BA75_05177T0</t>
  </si>
  <si>
    <t>40S ribosomal protein S6</t>
  </si>
  <si>
    <t>BA75_03468T0</t>
  </si>
  <si>
    <t>Fatty acid synthase subunit beta (EC 2.3.1.86) [Includes: 3-hydroxyacyl-[acyl-carrier-protein] dehydratase (EC 4.2.1.59); Enoyl-[acyl-carrier-protein] reductase [NADH] (EC 1.3.1.9); [Acyl-carrier-protein] acetyltransferase (EC 2.3.1.38); [Acyl-carrier-protein] malonyltransferase (EC 2.3.1.39); S-acyl fatty acid synthase thioesterase (EC 3.1.2.14)]</t>
  </si>
  <si>
    <t>BA75_01981T1</t>
  </si>
  <si>
    <t>60S ribosomal protein L26-B</t>
  </si>
  <si>
    <t>BA75_03034T0</t>
  </si>
  <si>
    <t>Acetyltransferase component of pyruvate dehydrogenase complex (EC 2.3.1.12)</t>
  </si>
  <si>
    <t>Fatty acid synthase subunit alpha (EC 2.3.1.86) [Includes: 3-oxoacyl-[acyl-carrier-protein] reductase (EC 1.1.1.100); 3-oxoacyl-[acyl-carrier-protein] synthase (EC 2.3.1.41)]</t>
  </si>
  <si>
    <t>Polyadenylate-binding protein (PABP)</t>
  </si>
  <si>
    <t>Translation initiation factor eIF-5</t>
  </si>
  <si>
    <t>Translation initiation factor eIF5</t>
  </si>
  <si>
    <t>Translation elongation factor three</t>
  </si>
  <si>
    <t>Pyruvate dehydrogenase E1 component subunit beta (EC 1.2.4.1)</t>
  </si>
  <si>
    <t>BA75_00698T0</t>
  </si>
  <si>
    <t>Essential RNA-binding G protein effector of mating response pathway</t>
  </si>
  <si>
    <t>RNA-binding G protein effector</t>
  </si>
  <si>
    <t>BA75_02438T0</t>
  </si>
  <si>
    <t>Mitochondrial 2-oxoadipate and 2-oxoglutarate transporter</t>
  </si>
  <si>
    <t>Mitochondrial inner membrane transporter, exports 2-oxoadipate and 2-oxoglutarate from the mitochond</t>
  </si>
  <si>
    <t>BA75_04542T0</t>
  </si>
  <si>
    <t>BA75_01718T0</t>
  </si>
  <si>
    <t>AAA ATPase</t>
  </si>
  <si>
    <t>ATPase in ER, nuclear membrane and cytosol with homology to mammalian p97</t>
  </si>
  <si>
    <t>BA75_04399T0</t>
  </si>
  <si>
    <t>BA75_04877T0</t>
  </si>
  <si>
    <t>AP-3 complex subunit mu</t>
  </si>
  <si>
    <t>RNA polymerase II-associated protein 3</t>
  </si>
  <si>
    <t>BA75_00029T0</t>
  </si>
  <si>
    <t>Mu3-like subunit of the clathrin associated protein complex (AP-3)</t>
  </si>
  <si>
    <t>BA75_04939T0</t>
  </si>
  <si>
    <t>Importin subunit alpha</t>
  </si>
  <si>
    <t>Dsl1p tethering complex component</t>
  </si>
  <si>
    <t>DNA topoisomerase I (EC 5.6.2.1) (DNA topoisomerase 1)</t>
  </si>
  <si>
    <t>Dipeptidyl aminopeptidase</t>
  </si>
  <si>
    <t>Dipeptidyl aminopeptidase, synthesized as a glycosylated</t>
  </si>
  <si>
    <t>BA75_02357T0</t>
  </si>
  <si>
    <t>Acetyl-CoA hydrolase (EC 3.1.2.1) (Acetyl-CoA deacylase)</t>
  </si>
  <si>
    <t>40S ribosomal protein S27-B</t>
  </si>
  <si>
    <t>BA75_01233T0</t>
  </si>
  <si>
    <t>60S ribosomal protein L35-B</t>
  </si>
  <si>
    <t>Protein component of the large (60S) ribosomal subunit, identical to Rpl35Ap</t>
  </si>
  <si>
    <t>60S ribosomal protein L36</t>
  </si>
  <si>
    <t>GTPase activating factor</t>
  </si>
  <si>
    <t>BA75_00157T0</t>
  </si>
  <si>
    <t>Elongator complex protein 5</t>
  </si>
  <si>
    <t>Protein SIP5</t>
  </si>
  <si>
    <t>Nucleolar protein 58</t>
  </si>
  <si>
    <t>Putative ADP-ribose 1''-phosphate phosphatase</t>
  </si>
  <si>
    <t>Macro domain-containing protein</t>
  </si>
  <si>
    <t>Transcriptional activator</t>
  </si>
  <si>
    <t>Transcriptional activator of proline utilization genes</t>
  </si>
  <si>
    <t>Translation initiation factor 2 subunit beta</t>
  </si>
  <si>
    <t>Beta subunit of the translation initiation factor eIF2</t>
  </si>
  <si>
    <t>ATP binding cassette family member</t>
  </si>
  <si>
    <t>BA75_04289T0</t>
  </si>
  <si>
    <t>Crh-like protein (EC 3.2.-.-)</t>
  </si>
  <si>
    <t>BA75_02666T0</t>
  </si>
  <si>
    <t>peptidylprolyl isomerase (EC 5.2.1.8)</t>
  </si>
  <si>
    <t>Inheritance of peroxisomes protein 1</t>
  </si>
  <si>
    <t>BA75_02207T0</t>
  </si>
  <si>
    <t>threonine synthase (EC 4.2.3.1)</t>
  </si>
  <si>
    <t>pyridoxal 5'-phosphate synthase (EC 1.4.3.5)</t>
  </si>
  <si>
    <t>10 kDa chaperonin</t>
  </si>
  <si>
    <t>10 kDa heat shock protein, mitochondrial</t>
  </si>
  <si>
    <t>LDB19 N-terminal domain-containing protein</t>
  </si>
  <si>
    <t>Endocytosis regulator</t>
  </si>
  <si>
    <t>BA75_04560T0</t>
  </si>
  <si>
    <t>Homocysteine/cysteine synthase (EC 2.5.1.47) (EC 2.5.1.49) (O-acetylserine/O-acetylhomoserine sulfhydrylase)</t>
  </si>
  <si>
    <t>BfA_lysate</t>
  </si>
  <si>
    <t>BfA_supernatant</t>
  </si>
  <si>
    <t xml:space="preserve">BfA_microsomes </t>
  </si>
  <si>
    <t>lysate</t>
  </si>
  <si>
    <t>supernatant</t>
  </si>
  <si>
    <t>microsomes</t>
  </si>
  <si>
    <t>relative_change_3_6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</si>
</sst>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8"/>
  <sheetViews>
    <sheetView tabSelected="1" topLeftCell="A662" workbookViewId="0">
      <selection activeCell="I686" sqref="I686"/>
    </sheetView>
  </sheetViews>
  <sheetFormatPr defaultRowHeight="15" x14ac:dyDescent="0.25"/>
  <cols>
    <col min="1" max="1" width="21.140625" customWidth="1"/>
    <col min="2" max="2" width="88.85546875" customWidth="1"/>
    <col min="3" max="8" width="16.140625" customWidth="1"/>
    <col min="9" max="9" width="34.28515625" customWidth="1"/>
  </cols>
  <sheetData>
    <row r="1" spans="1:9" x14ac:dyDescent="0.25">
      <c r="A1" s="1" t="s">
        <v>0</v>
      </c>
      <c r="B1" s="1" t="s">
        <v>1</v>
      </c>
      <c r="C1" s="1" t="s">
        <v>1258</v>
      </c>
      <c r="D1" s="1" t="s">
        <v>1259</v>
      </c>
      <c r="E1" s="1" t="s">
        <v>1260</v>
      </c>
      <c r="F1" s="1" t="s">
        <v>1261</v>
      </c>
      <c r="G1" s="1" t="s">
        <v>1262</v>
      </c>
      <c r="H1" s="1" t="s">
        <v>1263</v>
      </c>
      <c r="I1" s="2" t="s">
        <v>1264</v>
      </c>
    </row>
    <row r="2" spans="1:9" x14ac:dyDescent="0.25">
      <c r="A2" t="s">
        <v>150</v>
      </c>
      <c r="B2" t="s">
        <v>151</v>
      </c>
      <c r="C2">
        <v>478585</v>
      </c>
      <c r="D2">
        <v>0</v>
      </c>
      <c r="E2">
        <v>1745714</v>
      </c>
      <c r="F2">
        <v>1747369</v>
      </c>
      <c r="G2">
        <v>0</v>
      </c>
      <c r="H2">
        <v>0</v>
      </c>
      <c r="I2" t="e">
        <f>E2/H2</f>
        <v>#DIV/0!</v>
      </c>
    </row>
    <row r="3" spans="1:9" x14ac:dyDescent="0.25">
      <c r="A3" t="s">
        <v>152</v>
      </c>
      <c r="B3" t="s">
        <v>153</v>
      </c>
      <c r="C3">
        <v>492180</v>
      </c>
      <c r="D3">
        <v>0</v>
      </c>
      <c r="E3">
        <v>1779673</v>
      </c>
      <c r="F3">
        <v>1755723</v>
      </c>
      <c r="G3">
        <v>0</v>
      </c>
      <c r="H3">
        <v>0</v>
      </c>
      <c r="I3" t="e">
        <f>E3/H3</f>
        <v>#DIV/0!</v>
      </c>
    </row>
    <row r="4" spans="1:9" x14ac:dyDescent="0.25">
      <c r="A4" t="s">
        <v>180</v>
      </c>
      <c r="B4" t="s">
        <v>181</v>
      </c>
      <c r="C4">
        <v>429604</v>
      </c>
      <c r="D4">
        <v>0</v>
      </c>
      <c r="E4">
        <v>743064</v>
      </c>
      <c r="F4">
        <v>808112</v>
      </c>
      <c r="G4">
        <v>0</v>
      </c>
      <c r="H4">
        <v>0</v>
      </c>
      <c r="I4" t="e">
        <f>E4/H4</f>
        <v>#DIV/0!</v>
      </c>
    </row>
    <row r="5" spans="1:9" x14ac:dyDescent="0.25">
      <c r="A5" t="s">
        <v>200</v>
      </c>
      <c r="B5" t="s">
        <v>201</v>
      </c>
      <c r="C5">
        <v>680900</v>
      </c>
      <c r="D5">
        <v>0</v>
      </c>
      <c r="E5">
        <v>4083930</v>
      </c>
      <c r="F5">
        <v>3654902</v>
      </c>
      <c r="G5">
        <v>937484</v>
      </c>
      <c r="H5">
        <v>0</v>
      </c>
      <c r="I5" t="e">
        <f>E5/H5</f>
        <v>#DIV/0!</v>
      </c>
    </row>
    <row r="6" spans="1:9" x14ac:dyDescent="0.25">
      <c r="A6" t="s">
        <v>202</v>
      </c>
      <c r="B6" t="s">
        <v>203</v>
      </c>
      <c r="C6">
        <v>680900</v>
      </c>
      <c r="D6">
        <v>0</v>
      </c>
      <c r="E6">
        <v>4083930</v>
      </c>
      <c r="F6">
        <v>3654902</v>
      </c>
      <c r="G6">
        <v>937484</v>
      </c>
      <c r="H6">
        <v>0</v>
      </c>
      <c r="I6" t="e">
        <f>E6/H6</f>
        <v>#DIV/0!</v>
      </c>
    </row>
    <row r="7" spans="1:9" x14ac:dyDescent="0.25">
      <c r="A7" t="s">
        <v>204</v>
      </c>
      <c r="B7" t="s">
        <v>205</v>
      </c>
      <c r="C7">
        <v>683730</v>
      </c>
      <c r="D7">
        <v>0</v>
      </c>
      <c r="E7">
        <v>4141253</v>
      </c>
      <c r="F7">
        <v>3799880</v>
      </c>
      <c r="G7">
        <v>937484</v>
      </c>
      <c r="H7">
        <v>0</v>
      </c>
      <c r="I7" t="e">
        <f>E7/H7</f>
        <v>#DIV/0!</v>
      </c>
    </row>
    <row r="8" spans="1:9" x14ac:dyDescent="0.25">
      <c r="A8" t="s">
        <v>232</v>
      </c>
      <c r="B8" t="s">
        <v>233</v>
      </c>
      <c r="C8">
        <v>424248</v>
      </c>
      <c r="D8">
        <v>0</v>
      </c>
      <c r="E8">
        <v>0</v>
      </c>
      <c r="F8">
        <v>0</v>
      </c>
      <c r="G8">
        <v>0</v>
      </c>
      <c r="H8">
        <v>0</v>
      </c>
      <c r="I8" t="e">
        <f>E8/H8</f>
        <v>#DIV/0!</v>
      </c>
    </row>
    <row r="9" spans="1:9" x14ac:dyDescent="0.25">
      <c r="A9" t="s">
        <v>286</v>
      </c>
      <c r="B9" t="s">
        <v>287</v>
      </c>
      <c r="C9">
        <v>417977</v>
      </c>
      <c r="D9">
        <v>0</v>
      </c>
      <c r="E9">
        <v>573068</v>
      </c>
      <c r="F9">
        <v>616137</v>
      </c>
      <c r="G9">
        <v>0</v>
      </c>
      <c r="H9">
        <v>0</v>
      </c>
      <c r="I9" t="e">
        <f>E9/H9</f>
        <v>#DIV/0!</v>
      </c>
    </row>
    <row r="10" spans="1:9" x14ac:dyDescent="0.25">
      <c r="A10" t="s">
        <v>308</v>
      </c>
      <c r="B10" t="s">
        <v>309</v>
      </c>
      <c r="C10">
        <v>335968</v>
      </c>
      <c r="D10">
        <v>0</v>
      </c>
      <c r="E10">
        <v>1386712</v>
      </c>
      <c r="F10">
        <v>1550418</v>
      </c>
      <c r="G10">
        <v>0</v>
      </c>
      <c r="H10">
        <v>0</v>
      </c>
      <c r="I10" t="e">
        <f>E10/H10</f>
        <v>#DIV/0!</v>
      </c>
    </row>
    <row r="11" spans="1:9" x14ac:dyDescent="0.25">
      <c r="A11" t="s">
        <v>310</v>
      </c>
      <c r="B11" t="s">
        <v>311</v>
      </c>
      <c r="C11">
        <v>365787</v>
      </c>
      <c r="D11">
        <v>0</v>
      </c>
      <c r="E11">
        <v>1386712</v>
      </c>
      <c r="F11">
        <v>1550418</v>
      </c>
      <c r="G11">
        <v>0</v>
      </c>
      <c r="H11">
        <v>0</v>
      </c>
      <c r="I11" t="e">
        <f>E11/H11</f>
        <v>#DIV/0!</v>
      </c>
    </row>
    <row r="12" spans="1:9" x14ac:dyDescent="0.25">
      <c r="A12" t="s">
        <v>313</v>
      </c>
      <c r="B12" t="s">
        <v>314</v>
      </c>
      <c r="C12">
        <v>251331</v>
      </c>
      <c r="D12">
        <v>317188</v>
      </c>
      <c r="E12">
        <v>0</v>
      </c>
      <c r="F12">
        <v>0</v>
      </c>
      <c r="G12">
        <v>497099</v>
      </c>
      <c r="H12">
        <v>0</v>
      </c>
      <c r="I12" t="e">
        <f>E12/H12</f>
        <v>#DIV/0!</v>
      </c>
    </row>
    <row r="13" spans="1:9" x14ac:dyDescent="0.25">
      <c r="A13" t="s">
        <v>318</v>
      </c>
      <c r="B13" t="s">
        <v>319</v>
      </c>
      <c r="C13">
        <v>238288</v>
      </c>
      <c r="D13">
        <v>380729</v>
      </c>
      <c r="E13">
        <v>0</v>
      </c>
      <c r="F13">
        <v>0</v>
      </c>
      <c r="G13">
        <v>457140</v>
      </c>
      <c r="H13">
        <v>0</v>
      </c>
      <c r="I13" t="e">
        <f>E13/H13</f>
        <v>#DIV/0!</v>
      </c>
    </row>
    <row r="14" spans="1:9" x14ac:dyDescent="0.25">
      <c r="A14" t="s">
        <v>320</v>
      </c>
      <c r="B14" t="s">
        <v>321</v>
      </c>
      <c r="C14">
        <v>238288</v>
      </c>
      <c r="D14">
        <v>380729</v>
      </c>
      <c r="E14">
        <v>0</v>
      </c>
      <c r="F14">
        <v>0</v>
      </c>
      <c r="G14">
        <v>457140</v>
      </c>
      <c r="H14">
        <v>0</v>
      </c>
      <c r="I14" t="e">
        <f>E14/H14</f>
        <v>#DIV/0!</v>
      </c>
    </row>
    <row r="15" spans="1:9" x14ac:dyDescent="0.25">
      <c r="A15" t="s">
        <v>330</v>
      </c>
      <c r="B15" t="s">
        <v>331</v>
      </c>
      <c r="C15">
        <v>400955</v>
      </c>
      <c r="D15">
        <v>0</v>
      </c>
      <c r="E15">
        <v>1291736</v>
      </c>
      <c r="F15">
        <v>1348275</v>
      </c>
      <c r="G15">
        <v>0</v>
      </c>
      <c r="H15">
        <v>0</v>
      </c>
      <c r="I15" t="e">
        <f>E15/H15</f>
        <v>#DIV/0!</v>
      </c>
    </row>
    <row r="16" spans="1:9" x14ac:dyDescent="0.25">
      <c r="A16" t="s">
        <v>332</v>
      </c>
      <c r="B16" t="s">
        <v>333</v>
      </c>
      <c r="C16">
        <v>400955</v>
      </c>
      <c r="D16">
        <v>0</v>
      </c>
      <c r="E16">
        <v>1291736</v>
      </c>
      <c r="F16">
        <v>1348275</v>
      </c>
      <c r="G16">
        <v>0</v>
      </c>
      <c r="H16">
        <v>0</v>
      </c>
      <c r="I16" t="e">
        <f>E16/H16</f>
        <v>#DIV/0!</v>
      </c>
    </row>
    <row r="17" spans="1:9" x14ac:dyDescent="0.25">
      <c r="A17" t="s">
        <v>334</v>
      </c>
      <c r="B17" t="s">
        <v>335</v>
      </c>
      <c r="C17">
        <v>423209</v>
      </c>
      <c r="D17">
        <v>0</v>
      </c>
      <c r="E17">
        <v>1341326</v>
      </c>
      <c r="F17">
        <v>1368065</v>
      </c>
      <c r="G17">
        <v>0</v>
      </c>
      <c r="H17">
        <v>0</v>
      </c>
      <c r="I17" t="e">
        <f>E17/H17</f>
        <v>#DIV/0!</v>
      </c>
    </row>
    <row r="18" spans="1:9" x14ac:dyDescent="0.25">
      <c r="A18" t="s">
        <v>364</v>
      </c>
      <c r="B18" t="s">
        <v>365</v>
      </c>
      <c r="C18">
        <v>401478</v>
      </c>
      <c r="D18">
        <v>0</v>
      </c>
      <c r="E18">
        <v>1911413</v>
      </c>
      <c r="F18">
        <v>1602639</v>
      </c>
      <c r="G18">
        <v>0</v>
      </c>
      <c r="H18">
        <v>0</v>
      </c>
      <c r="I18" t="e">
        <f>E18/H18</f>
        <v>#DIV/0!</v>
      </c>
    </row>
    <row r="19" spans="1:9" x14ac:dyDescent="0.25">
      <c r="A19" t="s">
        <v>366</v>
      </c>
      <c r="B19" t="s">
        <v>367</v>
      </c>
      <c r="C19">
        <v>401478</v>
      </c>
      <c r="D19">
        <v>0</v>
      </c>
      <c r="E19">
        <v>1916805</v>
      </c>
      <c r="F19">
        <v>1612136</v>
      </c>
      <c r="G19">
        <v>0</v>
      </c>
      <c r="H19">
        <v>0</v>
      </c>
      <c r="I19" t="e">
        <f>E19/H19</f>
        <v>#DIV/0!</v>
      </c>
    </row>
    <row r="20" spans="1:9" x14ac:dyDescent="0.25">
      <c r="A20" t="s">
        <v>368</v>
      </c>
      <c r="B20" t="s">
        <v>369</v>
      </c>
      <c r="C20">
        <v>657401</v>
      </c>
      <c r="D20">
        <v>645712</v>
      </c>
      <c r="E20">
        <v>123344</v>
      </c>
      <c r="F20">
        <v>0</v>
      </c>
      <c r="G20">
        <v>401873</v>
      </c>
      <c r="H20">
        <v>0</v>
      </c>
      <c r="I20" t="e">
        <f>E20/H20</f>
        <v>#DIV/0!</v>
      </c>
    </row>
    <row r="21" spans="1:9" x14ac:dyDescent="0.25">
      <c r="A21" t="s">
        <v>370</v>
      </c>
      <c r="B21" t="s">
        <v>371</v>
      </c>
      <c r="C21">
        <v>657401</v>
      </c>
      <c r="D21">
        <v>645712</v>
      </c>
      <c r="E21">
        <v>123344</v>
      </c>
      <c r="F21">
        <v>0</v>
      </c>
      <c r="G21">
        <v>401873</v>
      </c>
      <c r="H21">
        <v>0</v>
      </c>
      <c r="I21" t="e">
        <f>E21/H21</f>
        <v>#DIV/0!</v>
      </c>
    </row>
    <row r="22" spans="1:9" x14ac:dyDescent="0.25">
      <c r="A22" t="s">
        <v>372</v>
      </c>
      <c r="B22" t="s">
        <v>373</v>
      </c>
      <c r="C22">
        <v>657401</v>
      </c>
      <c r="D22">
        <v>645712</v>
      </c>
      <c r="E22">
        <v>157820</v>
      </c>
      <c r="F22">
        <v>0</v>
      </c>
      <c r="G22">
        <v>401873</v>
      </c>
      <c r="H22">
        <v>0</v>
      </c>
      <c r="I22" t="e">
        <f>E22/H22</f>
        <v>#DIV/0!</v>
      </c>
    </row>
    <row r="23" spans="1:9" x14ac:dyDescent="0.25">
      <c r="A23" t="s">
        <v>397</v>
      </c>
      <c r="B23" t="s">
        <v>398</v>
      </c>
      <c r="C23">
        <v>486722</v>
      </c>
      <c r="D23">
        <v>349366</v>
      </c>
      <c r="E23">
        <v>0</v>
      </c>
      <c r="F23">
        <v>0</v>
      </c>
      <c r="G23">
        <v>221367</v>
      </c>
      <c r="H23">
        <v>0</v>
      </c>
      <c r="I23" t="e">
        <f>E23/H23</f>
        <v>#DIV/0!</v>
      </c>
    </row>
    <row r="24" spans="1:9" x14ac:dyDescent="0.25">
      <c r="A24" t="s">
        <v>407</v>
      </c>
      <c r="B24" t="s">
        <v>408</v>
      </c>
      <c r="C24">
        <v>121078</v>
      </c>
      <c r="D24">
        <v>0</v>
      </c>
      <c r="E24">
        <v>878757</v>
      </c>
      <c r="F24">
        <v>1128010</v>
      </c>
      <c r="G24">
        <v>0</v>
      </c>
      <c r="H24">
        <v>0</v>
      </c>
      <c r="I24" t="e">
        <f>E24/H24</f>
        <v>#DIV/0!</v>
      </c>
    </row>
    <row r="25" spans="1:9" x14ac:dyDescent="0.25">
      <c r="A25" t="s">
        <v>411</v>
      </c>
      <c r="B25" t="s">
        <v>371</v>
      </c>
      <c r="C25">
        <v>587085</v>
      </c>
      <c r="D25">
        <v>507506</v>
      </c>
      <c r="E25">
        <v>0</v>
      </c>
      <c r="F25">
        <v>0</v>
      </c>
      <c r="G25">
        <v>315782</v>
      </c>
      <c r="H25">
        <v>0</v>
      </c>
      <c r="I25" t="e">
        <f>E25/H25</f>
        <v>#DIV/0!</v>
      </c>
    </row>
    <row r="26" spans="1:9" x14ac:dyDescent="0.25">
      <c r="A26" t="s">
        <v>428</v>
      </c>
      <c r="B26" t="s">
        <v>429</v>
      </c>
      <c r="C26">
        <v>376351</v>
      </c>
      <c r="D26">
        <v>0</v>
      </c>
      <c r="E26">
        <v>1100698</v>
      </c>
      <c r="F26">
        <v>0</v>
      </c>
      <c r="G26">
        <v>0</v>
      </c>
      <c r="H26">
        <v>0</v>
      </c>
      <c r="I26" t="e">
        <f>E26/H26</f>
        <v>#DIV/0!</v>
      </c>
    </row>
    <row r="27" spans="1:9" x14ac:dyDescent="0.25">
      <c r="A27" t="s">
        <v>430</v>
      </c>
      <c r="B27" t="s">
        <v>431</v>
      </c>
      <c r="C27">
        <v>376351</v>
      </c>
      <c r="D27">
        <v>0</v>
      </c>
      <c r="E27">
        <v>1100698</v>
      </c>
      <c r="F27">
        <v>0</v>
      </c>
      <c r="G27">
        <v>0</v>
      </c>
      <c r="H27">
        <v>0</v>
      </c>
      <c r="I27" t="e">
        <f>E27/H27</f>
        <v>#DIV/0!</v>
      </c>
    </row>
    <row r="28" spans="1:9" x14ac:dyDescent="0.25">
      <c r="A28" t="s">
        <v>432</v>
      </c>
      <c r="B28" t="s">
        <v>433</v>
      </c>
      <c r="C28">
        <v>422202</v>
      </c>
      <c r="D28">
        <v>0</v>
      </c>
      <c r="E28">
        <v>1350440</v>
      </c>
      <c r="F28">
        <v>0</v>
      </c>
      <c r="G28">
        <v>0</v>
      </c>
      <c r="H28">
        <v>0</v>
      </c>
      <c r="I28" t="e">
        <f>E28/H28</f>
        <v>#DIV/0!</v>
      </c>
    </row>
    <row r="29" spans="1:9" x14ac:dyDescent="0.25">
      <c r="A29" t="s">
        <v>438</v>
      </c>
      <c r="B29" t="s">
        <v>439</v>
      </c>
      <c r="C29">
        <v>270462</v>
      </c>
      <c r="D29">
        <v>0</v>
      </c>
      <c r="E29">
        <v>838451</v>
      </c>
      <c r="F29">
        <v>951271</v>
      </c>
      <c r="G29">
        <v>0</v>
      </c>
      <c r="H29">
        <v>0</v>
      </c>
      <c r="I29" t="e">
        <f>E29/H29</f>
        <v>#DIV/0!</v>
      </c>
    </row>
    <row r="30" spans="1:9" x14ac:dyDescent="0.25">
      <c r="A30" t="s">
        <v>440</v>
      </c>
      <c r="B30" t="s">
        <v>441</v>
      </c>
      <c r="C30">
        <v>270462</v>
      </c>
      <c r="D30">
        <v>0</v>
      </c>
      <c r="E30">
        <v>838451</v>
      </c>
      <c r="F30">
        <v>951271</v>
      </c>
      <c r="G30">
        <v>0</v>
      </c>
      <c r="H30">
        <v>0</v>
      </c>
      <c r="I30" t="e">
        <f>E30/H30</f>
        <v>#DIV/0!</v>
      </c>
    </row>
    <row r="31" spans="1:9" x14ac:dyDescent="0.25">
      <c r="A31" t="s">
        <v>448</v>
      </c>
      <c r="B31" t="s">
        <v>449</v>
      </c>
      <c r="C31">
        <v>481874</v>
      </c>
      <c r="D31">
        <v>558133</v>
      </c>
      <c r="E31">
        <v>0</v>
      </c>
      <c r="F31">
        <v>0</v>
      </c>
      <c r="G31">
        <v>0</v>
      </c>
      <c r="H31">
        <v>0</v>
      </c>
      <c r="I31" t="e">
        <f>E31/H31</f>
        <v>#DIV/0!</v>
      </c>
    </row>
    <row r="32" spans="1:9" x14ac:dyDescent="0.25">
      <c r="A32" t="s">
        <v>450</v>
      </c>
      <c r="B32" t="s">
        <v>451</v>
      </c>
      <c r="C32">
        <v>481874</v>
      </c>
      <c r="D32">
        <v>593985</v>
      </c>
      <c r="E32">
        <v>0</v>
      </c>
      <c r="F32">
        <v>0</v>
      </c>
      <c r="G32">
        <v>0</v>
      </c>
      <c r="H32">
        <v>0</v>
      </c>
      <c r="I32" t="e">
        <f>E32/H32</f>
        <v>#DIV/0!</v>
      </c>
    </row>
    <row r="33" spans="1:9" x14ac:dyDescent="0.25">
      <c r="A33" t="s">
        <v>456</v>
      </c>
      <c r="B33" t="s">
        <v>457</v>
      </c>
      <c r="C33">
        <v>372214</v>
      </c>
      <c r="D33">
        <v>274906</v>
      </c>
      <c r="E33">
        <v>0</v>
      </c>
      <c r="F33">
        <v>0</v>
      </c>
      <c r="G33">
        <v>0</v>
      </c>
      <c r="H33">
        <v>0</v>
      </c>
      <c r="I33" t="e">
        <f>E33/H33</f>
        <v>#DIV/0!</v>
      </c>
    </row>
    <row r="34" spans="1:9" x14ac:dyDescent="0.25">
      <c r="A34" t="s">
        <v>458</v>
      </c>
      <c r="B34" t="s">
        <v>459</v>
      </c>
      <c r="C34">
        <v>373253</v>
      </c>
      <c r="D34">
        <v>274906</v>
      </c>
      <c r="E34">
        <v>0</v>
      </c>
      <c r="F34">
        <v>0</v>
      </c>
      <c r="G34">
        <v>0</v>
      </c>
      <c r="H34">
        <v>0</v>
      </c>
      <c r="I34" t="e">
        <f>E34/H34</f>
        <v>#DIV/0!</v>
      </c>
    </row>
    <row r="35" spans="1:9" x14ac:dyDescent="0.25">
      <c r="A35" t="s">
        <v>460</v>
      </c>
      <c r="B35" t="s">
        <v>461</v>
      </c>
      <c r="C35">
        <v>50247</v>
      </c>
      <c r="D35">
        <v>0</v>
      </c>
      <c r="E35">
        <v>0</v>
      </c>
      <c r="F35">
        <v>0</v>
      </c>
      <c r="G35">
        <v>0</v>
      </c>
      <c r="H35">
        <v>0</v>
      </c>
      <c r="I35" t="e">
        <f>E35/H35</f>
        <v>#DIV/0!</v>
      </c>
    </row>
    <row r="36" spans="1:9" x14ac:dyDescent="0.25">
      <c r="A36" t="s">
        <v>462</v>
      </c>
      <c r="B36" t="s">
        <v>463</v>
      </c>
      <c r="C36">
        <v>50247</v>
      </c>
      <c r="D36">
        <v>0</v>
      </c>
      <c r="E36">
        <v>0</v>
      </c>
      <c r="F36">
        <v>0</v>
      </c>
      <c r="G36">
        <v>0</v>
      </c>
      <c r="H36">
        <v>0</v>
      </c>
      <c r="I36" t="e">
        <f>E36/H36</f>
        <v>#DIV/0!</v>
      </c>
    </row>
    <row r="37" spans="1:9" x14ac:dyDescent="0.25">
      <c r="A37" t="s">
        <v>464</v>
      </c>
      <c r="B37" t="s">
        <v>465</v>
      </c>
      <c r="C37">
        <v>50247</v>
      </c>
      <c r="D37">
        <v>0</v>
      </c>
      <c r="E37">
        <v>0</v>
      </c>
      <c r="F37">
        <v>0</v>
      </c>
      <c r="G37">
        <v>0</v>
      </c>
      <c r="H37">
        <v>0</v>
      </c>
      <c r="I37" t="e">
        <f>E37/H37</f>
        <v>#DIV/0!</v>
      </c>
    </row>
    <row r="38" spans="1:9" x14ac:dyDescent="0.25">
      <c r="A38" t="s">
        <v>466</v>
      </c>
      <c r="B38" t="s">
        <v>467</v>
      </c>
      <c r="C38">
        <v>136925</v>
      </c>
      <c r="D38">
        <v>0</v>
      </c>
      <c r="E38">
        <v>0</v>
      </c>
      <c r="F38">
        <v>0</v>
      </c>
      <c r="G38">
        <v>0</v>
      </c>
      <c r="H38">
        <v>0</v>
      </c>
      <c r="I38" t="e">
        <f>E38/H38</f>
        <v>#DIV/0!</v>
      </c>
    </row>
    <row r="39" spans="1:9" x14ac:dyDescent="0.25">
      <c r="A39" t="s">
        <v>468</v>
      </c>
      <c r="B39" t="s">
        <v>469</v>
      </c>
      <c r="C39">
        <v>205281</v>
      </c>
      <c r="D39">
        <v>304230</v>
      </c>
      <c r="E39">
        <v>0</v>
      </c>
      <c r="F39">
        <v>161234</v>
      </c>
      <c r="G39">
        <v>0</v>
      </c>
      <c r="H39">
        <v>0</v>
      </c>
      <c r="I39" t="e">
        <f>E39/H39</f>
        <v>#DIV/0!</v>
      </c>
    </row>
    <row r="40" spans="1:9" x14ac:dyDescent="0.25">
      <c r="A40" t="s">
        <v>476</v>
      </c>
      <c r="B40" t="s">
        <v>477</v>
      </c>
      <c r="C40">
        <v>294719</v>
      </c>
      <c r="D40">
        <v>0</v>
      </c>
      <c r="E40">
        <v>692183</v>
      </c>
      <c r="F40">
        <v>685161</v>
      </c>
      <c r="G40">
        <v>0</v>
      </c>
      <c r="H40">
        <v>0</v>
      </c>
      <c r="I40" t="e">
        <f>E40/H40</f>
        <v>#DIV/0!</v>
      </c>
    </row>
    <row r="41" spans="1:9" x14ac:dyDescent="0.25">
      <c r="A41" t="s">
        <v>478</v>
      </c>
      <c r="B41" t="s">
        <v>479</v>
      </c>
      <c r="C41">
        <v>294719</v>
      </c>
      <c r="D41">
        <v>0</v>
      </c>
      <c r="E41">
        <v>736526</v>
      </c>
      <c r="F41">
        <v>685161</v>
      </c>
      <c r="G41">
        <v>0</v>
      </c>
      <c r="H41">
        <v>0</v>
      </c>
      <c r="I41" t="e">
        <f>E41/H41</f>
        <v>#DIV/0!</v>
      </c>
    </row>
    <row r="42" spans="1:9" x14ac:dyDescent="0.25">
      <c r="A42" t="s">
        <v>480</v>
      </c>
      <c r="B42" t="s">
        <v>481</v>
      </c>
      <c r="C42">
        <v>46188</v>
      </c>
      <c r="D42">
        <v>26963</v>
      </c>
      <c r="E42">
        <v>0</v>
      </c>
      <c r="F42">
        <v>0</v>
      </c>
      <c r="G42">
        <v>0</v>
      </c>
      <c r="H42">
        <v>0</v>
      </c>
      <c r="I42" t="e">
        <f>E42/H42</f>
        <v>#DIV/0!</v>
      </c>
    </row>
    <row r="43" spans="1:9" x14ac:dyDescent="0.25">
      <c r="A43" t="s">
        <v>482</v>
      </c>
      <c r="B43" t="s">
        <v>483</v>
      </c>
      <c r="C43">
        <v>46188</v>
      </c>
      <c r="D43">
        <v>26963</v>
      </c>
      <c r="E43">
        <v>0</v>
      </c>
      <c r="F43">
        <v>0</v>
      </c>
      <c r="G43">
        <v>0</v>
      </c>
      <c r="H43">
        <v>0</v>
      </c>
      <c r="I43" t="e">
        <f>E43/H43</f>
        <v>#DIV/0!</v>
      </c>
    </row>
    <row r="44" spans="1:9" x14ac:dyDescent="0.25">
      <c r="A44" t="s">
        <v>484</v>
      </c>
      <c r="B44" t="s">
        <v>485</v>
      </c>
      <c r="C44">
        <v>176273</v>
      </c>
      <c r="D44">
        <v>0</v>
      </c>
      <c r="E44">
        <v>0</v>
      </c>
      <c r="F44">
        <v>0</v>
      </c>
      <c r="G44">
        <v>0</v>
      </c>
      <c r="H44">
        <v>0</v>
      </c>
      <c r="I44" t="e">
        <f>E44/H44</f>
        <v>#DIV/0!</v>
      </c>
    </row>
    <row r="45" spans="1:9" x14ac:dyDescent="0.25">
      <c r="A45" t="s">
        <v>486</v>
      </c>
      <c r="B45" t="s">
        <v>487</v>
      </c>
      <c r="C45">
        <v>458261</v>
      </c>
      <c r="D45">
        <v>679475</v>
      </c>
      <c r="E45">
        <v>0</v>
      </c>
      <c r="F45">
        <v>0</v>
      </c>
      <c r="G45">
        <v>0</v>
      </c>
      <c r="H45">
        <v>0</v>
      </c>
      <c r="I45" t="e">
        <f>E45/H45</f>
        <v>#DIV/0!</v>
      </c>
    </row>
    <row r="46" spans="1:9" x14ac:dyDescent="0.25">
      <c r="A46" t="s">
        <v>488</v>
      </c>
      <c r="B46" t="s">
        <v>489</v>
      </c>
      <c r="C46">
        <v>458261</v>
      </c>
      <c r="D46">
        <v>679475</v>
      </c>
      <c r="E46">
        <v>0</v>
      </c>
      <c r="F46">
        <v>0</v>
      </c>
      <c r="G46">
        <v>0</v>
      </c>
      <c r="H46">
        <v>0</v>
      </c>
      <c r="I46" t="e">
        <f>E46/H46</f>
        <v>#DIV/0!</v>
      </c>
    </row>
    <row r="47" spans="1:9" x14ac:dyDescent="0.25">
      <c r="A47" t="s">
        <v>490</v>
      </c>
      <c r="B47" t="s">
        <v>491</v>
      </c>
      <c r="C47">
        <v>458261</v>
      </c>
      <c r="D47">
        <v>716477</v>
      </c>
      <c r="E47">
        <v>0</v>
      </c>
      <c r="F47">
        <v>0</v>
      </c>
      <c r="G47">
        <v>0</v>
      </c>
      <c r="H47">
        <v>0</v>
      </c>
      <c r="I47" t="e">
        <f>E47/H47</f>
        <v>#DIV/0!</v>
      </c>
    </row>
    <row r="48" spans="1:9" x14ac:dyDescent="0.25">
      <c r="A48" t="s">
        <v>498</v>
      </c>
      <c r="B48" t="s">
        <v>499</v>
      </c>
      <c r="C48">
        <v>441795</v>
      </c>
      <c r="D48">
        <v>780062</v>
      </c>
      <c r="E48">
        <v>0</v>
      </c>
      <c r="F48">
        <v>0</v>
      </c>
      <c r="G48">
        <v>0</v>
      </c>
      <c r="H48">
        <v>0</v>
      </c>
      <c r="I48" t="e">
        <f>E48/H48</f>
        <v>#DIV/0!</v>
      </c>
    </row>
    <row r="49" spans="1:9" x14ac:dyDescent="0.25">
      <c r="A49" t="s">
        <v>500</v>
      </c>
      <c r="B49" t="s">
        <v>501</v>
      </c>
      <c r="C49">
        <v>395766</v>
      </c>
      <c r="D49">
        <v>911248</v>
      </c>
      <c r="E49">
        <v>0</v>
      </c>
      <c r="F49">
        <v>0</v>
      </c>
      <c r="G49">
        <v>0</v>
      </c>
      <c r="H49">
        <v>0</v>
      </c>
      <c r="I49" t="e">
        <f>E49/H49</f>
        <v>#DIV/0!</v>
      </c>
    </row>
    <row r="50" spans="1:9" x14ac:dyDescent="0.25">
      <c r="A50" t="s">
        <v>502</v>
      </c>
      <c r="B50" t="s">
        <v>503</v>
      </c>
      <c r="C50">
        <v>395766</v>
      </c>
      <c r="D50">
        <v>911248</v>
      </c>
      <c r="E50">
        <v>0</v>
      </c>
      <c r="F50">
        <v>0</v>
      </c>
      <c r="G50">
        <v>0</v>
      </c>
      <c r="H50">
        <v>0</v>
      </c>
      <c r="I50" t="e">
        <f>E50/H50</f>
        <v>#DIV/0!</v>
      </c>
    </row>
    <row r="51" spans="1:9" x14ac:dyDescent="0.25">
      <c r="A51" t="s">
        <v>504</v>
      </c>
      <c r="B51" t="s">
        <v>505</v>
      </c>
      <c r="C51">
        <v>332709</v>
      </c>
      <c r="D51">
        <v>0</v>
      </c>
      <c r="E51">
        <v>0</v>
      </c>
      <c r="F51">
        <v>0</v>
      </c>
      <c r="G51">
        <v>0</v>
      </c>
      <c r="H51">
        <v>0</v>
      </c>
      <c r="I51" t="e">
        <f>E51/H51</f>
        <v>#DIV/0!</v>
      </c>
    </row>
    <row r="52" spans="1:9" x14ac:dyDescent="0.25">
      <c r="A52" t="s">
        <v>506</v>
      </c>
      <c r="B52" t="s">
        <v>507</v>
      </c>
      <c r="C52">
        <v>332709</v>
      </c>
      <c r="D52">
        <v>0</v>
      </c>
      <c r="E52">
        <v>0</v>
      </c>
      <c r="F52">
        <v>0</v>
      </c>
      <c r="G52">
        <v>0</v>
      </c>
      <c r="H52">
        <v>0</v>
      </c>
      <c r="I52" t="e">
        <f>E52/H52</f>
        <v>#DIV/0!</v>
      </c>
    </row>
    <row r="53" spans="1:9" x14ac:dyDescent="0.25">
      <c r="A53" t="s">
        <v>514</v>
      </c>
      <c r="B53" t="s">
        <v>515</v>
      </c>
      <c r="C53">
        <v>638594</v>
      </c>
      <c r="D53">
        <v>376892</v>
      </c>
      <c r="E53">
        <v>0</v>
      </c>
      <c r="F53">
        <v>0</v>
      </c>
      <c r="G53">
        <v>0</v>
      </c>
      <c r="H53">
        <v>0</v>
      </c>
      <c r="I53" t="e">
        <f>E53/H53</f>
        <v>#DIV/0!</v>
      </c>
    </row>
    <row r="54" spans="1:9" x14ac:dyDescent="0.25">
      <c r="A54" t="s">
        <v>516</v>
      </c>
      <c r="B54" t="s">
        <v>517</v>
      </c>
      <c r="C54">
        <v>832908</v>
      </c>
      <c r="D54">
        <v>376892</v>
      </c>
      <c r="E54">
        <v>0</v>
      </c>
      <c r="F54">
        <v>0</v>
      </c>
      <c r="G54">
        <v>0</v>
      </c>
      <c r="H54">
        <v>0</v>
      </c>
      <c r="I54" t="e">
        <f>E54/H54</f>
        <v>#DIV/0!</v>
      </c>
    </row>
    <row r="55" spans="1:9" x14ac:dyDescent="0.25">
      <c r="A55" t="s">
        <v>518</v>
      </c>
      <c r="B55" t="s">
        <v>519</v>
      </c>
      <c r="C55">
        <v>241221</v>
      </c>
      <c r="D55">
        <v>293955</v>
      </c>
      <c r="E55">
        <v>0</v>
      </c>
      <c r="F55">
        <v>0</v>
      </c>
      <c r="G55">
        <v>211373</v>
      </c>
      <c r="H55">
        <v>0</v>
      </c>
      <c r="I55" t="e">
        <f>E55/H55</f>
        <v>#DIV/0!</v>
      </c>
    </row>
    <row r="56" spans="1:9" x14ac:dyDescent="0.25">
      <c r="A56" t="s">
        <v>520</v>
      </c>
      <c r="B56" t="s">
        <v>521</v>
      </c>
      <c r="C56">
        <v>415966</v>
      </c>
      <c r="D56">
        <v>252117</v>
      </c>
      <c r="E56">
        <v>69629</v>
      </c>
      <c r="F56">
        <v>0</v>
      </c>
      <c r="G56">
        <v>292415</v>
      </c>
      <c r="H56">
        <v>0</v>
      </c>
      <c r="I56" t="e">
        <f>E56/H56</f>
        <v>#DIV/0!</v>
      </c>
    </row>
    <row r="57" spans="1:9" x14ac:dyDescent="0.25">
      <c r="A57" t="s">
        <v>522</v>
      </c>
      <c r="B57" t="s">
        <v>523</v>
      </c>
      <c r="C57">
        <v>194180</v>
      </c>
      <c r="D57">
        <v>0</v>
      </c>
      <c r="E57">
        <v>0</v>
      </c>
      <c r="F57">
        <v>0</v>
      </c>
      <c r="G57">
        <v>0</v>
      </c>
      <c r="H57">
        <v>0</v>
      </c>
      <c r="I57" t="e">
        <f>E57/H57</f>
        <v>#DIV/0!</v>
      </c>
    </row>
    <row r="58" spans="1:9" x14ac:dyDescent="0.25">
      <c r="A58" t="s">
        <v>524</v>
      </c>
      <c r="B58" t="s">
        <v>525</v>
      </c>
      <c r="C58">
        <v>345954</v>
      </c>
      <c r="D58">
        <v>446905</v>
      </c>
      <c r="E58">
        <v>0</v>
      </c>
      <c r="F58">
        <v>0</v>
      </c>
      <c r="G58">
        <v>0</v>
      </c>
      <c r="H58">
        <v>0</v>
      </c>
      <c r="I58" t="e">
        <f>E58/H58</f>
        <v>#DIV/0!</v>
      </c>
    </row>
    <row r="59" spans="1:9" x14ac:dyDescent="0.25">
      <c r="A59" t="s">
        <v>526</v>
      </c>
      <c r="B59" t="s">
        <v>527</v>
      </c>
      <c r="C59">
        <v>142619</v>
      </c>
      <c r="D59">
        <v>0</v>
      </c>
      <c r="E59">
        <v>611245</v>
      </c>
      <c r="F59">
        <v>585469</v>
      </c>
      <c r="G59">
        <v>0</v>
      </c>
      <c r="H59">
        <v>0</v>
      </c>
      <c r="I59" t="e">
        <f>E59/H59</f>
        <v>#DIV/0!</v>
      </c>
    </row>
    <row r="60" spans="1:9" x14ac:dyDescent="0.25">
      <c r="A60" t="s">
        <v>528</v>
      </c>
      <c r="B60" t="s">
        <v>529</v>
      </c>
      <c r="C60">
        <v>332113</v>
      </c>
      <c r="D60">
        <v>0</v>
      </c>
      <c r="E60">
        <v>1796699</v>
      </c>
      <c r="F60">
        <v>1739675</v>
      </c>
      <c r="G60">
        <v>0</v>
      </c>
      <c r="H60">
        <v>0</v>
      </c>
      <c r="I60" t="e">
        <f>E60/H60</f>
        <v>#DIV/0!</v>
      </c>
    </row>
    <row r="61" spans="1:9" x14ac:dyDescent="0.25">
      <c r="A61" t="s">
        <v>530</v>
      </c>
      <c r="B61" t="s">
        <v>531</v>
      </c>
      <c r="C61">
        <v>337289</v>
      </c>
      <c r="D61">
        <v>0</v>
      </c>
      <c r="E61">
        <v>1821089</v>
      </c>
      <c r="F61">
        <v>1778173</v>
      </c>
      <c r="G61">
        <v>0</v>
      </c>
      <c r="H61">
        <v>0</v>
      </c>
      <c r="I61" t="e">
        <f>E61/H61</f>
        <v>#DIV/0!</v>
      </c>
    </row>
    <row r="62" spans="1:9" x14ac:dyDescent="0.25">
      <c r="A62" t="s">
        <v>534</v>
      </c>
      <c r="B62" t="s">
        <v>535</v>
      </c>
      <c r="C62">
        <v>538885</v>
      </c>
      <c r="D62">
        <v>0</v>
      </c>
      <c r="E62">
        <v>0</v>
      </c>
      <c r="F62">
        <v>0</v>
      </c>
      <c r="G62">
        <v>0</v>
      </c>
      <c r="H62">
        <v>0</v>
      </c>
      <c r="I62" t="e">
        <f>E62/H62</f>
        <v>#DIV/0!</v>
      </c>
    </row>
    <row r="63" spans="1:9" x14ac:dyDescent="0.25">
      <c r="A63" t="s">
        <v>536</v>
      </c>
      <c r="B63" t="s">
        <v>537</v>
      </c>
      <c r="C63">
        <v>538885</v>
      </c>
      <c r="D63">
        <v>0</v>
      </c>
      <c r="E63">
        <v>0</v>
      </c>
      <c r="F63">
        <v>0</v>
      </c>
      <c r="G63">
        <v>0</v>
      </c>
      <c r="H63">
        <v>0</v>
      </c>
      <c r="I63" t="e">
        <f>E63/H63</f>
        <v>#DIV/0!</v>
      </c>
    </row>
    <row r="64" spans="1:9" x14ac:dyDescent="0.25">
      <c r="A64" t="s">
        <v>538</v>
      </c>
      <c r="B64" t="s">
        <v>539</v>
      </c>
      <c r="C64">
        <v>354972</v>
      </c>
      <c r="D64">
        <v>300877</v>
      </c>
      <c r="E64">
        <v>0</v>
      </c>
      <c r="F64">
        <v>0</v>
      </c>
      <c r="G64">
        <v>0</v>
      </c>
      <c r="H64">
        <v>0</v>
      </c>
      <c r="I64" t="e">
        <f>E64/H64</f>
        <v>#DIV/0!</v>
      </c>
    </row>
    <row r="65" spans="1:9" x14ac:dyDescent="0.25">
      <c r="A65" t="s">
        <v>540</v>
      </c>
      <c r="B65" t="s">
        <v>541</v>
      </c>
      <c r="C65">
        <v>259716</v>
      </c>
      <c r="D65">
        <v>0</v>
      </c>
      <c r="E65">
        <v>0</v>
      </c>
      <c r="F65">
        <v>0</v>
      </c>
      <c r="G65">
        <v>0</v>
      </c>
      <c r="H65">
        <v>0</v>
      </c>
      <c r="I65" t="e">
        <f>E65/H65</f>
        <v>#DIV/0!</v>
      </c>
    </row>
    <row r="66" spans="1:9" x14ac:dyDescent="0.25">
      <c r="A66" t="s">
        <v>542</v>
      </c>
      <c r="B66" t="s">
        <v>543</v>
      </c>
      <c r="C66">
        <v>497930</v>
      </c>
      <c r="D66">
        <v>0</v>
      </c>
      <c r="E66">
        <v>0</v>
      </c>
      <c r="F66">
        <v>0</v>
      </c>
      <c r="G66">
        <v>0</v>
      </c>
      <c r="H66">
        <v>0</v>
      </c>
      <c r="I66" t="e">
        <f>E66/H66</f>
        <v>#DIV/0!</v>
      </c>
    </row>
    <row r="67" spans="1:9" x14ac:dyDescent="0.25">
      <c r="A67" t="s">
        <v>544</v>
      </c>
      <c r="B67" t="s">
        <v>545</v>
      </c>
      <c r="C67">
        <v>200772</v>
      </c>
      <c r="D67">
        <v>314126</v>
      </c>
      <c r="E67">
        <v>0</v>
      </c>
      <c r="F67">
        <v>0</v>
      </c>
      <c r="G67">
        <v>208764</v>
      </c>
      <c r="H67">
        <v>0</v>
      </c>
      <c r="I67" t="e">
        <f>E67/H67</f>
        <v>#DIV/0!</v>
      </c>
    </row>
    <row r="68" spans="1:9" x14ac:dyDescent="0.25">
      <c r="A68" t="s">
        <v>546</v>
      </c>
      <c r="B68" t="s">
        <v>547</v>
      </c>
      <c r="C68">
        <v>200772</v>
      </c>
      <c r="D68">
        <v>361641</v>
      </c>
      <c r="E68">
        <v>0</v>
      </c>
      <c r="F68">
        <v>0</v>
      </c>
      <c r="G68">
        <v>227139</v>
      </c>
      <c r="H68">
        <v>0</v>
      </c>
      <c r="I68" t="e">
        <f>E68/H68</f>
        <v>#DIV/0!</v>
      </c>
    </row>
    <row r="69" spans="1:9" x14ac:dyDescent="0.25">
      <c r="A69" t="s">
        <v>548</v>
      </c>
      <c r="B69" t="s">
        <v>549</v>
      </c>
      <c r="C69">
        <v>473049</v>
      </c>
      <c r="D69">
        <v>381744</v>
      </c>
      <c r="E69">
        <v>0</v>
      </c>
      <c r="F69">
        <v>0</v>
      </c>
      <c r="G69">
        <v>306379</v>
      </c>
      <c r="H69">
        <v>0</v>
      </c>
      <c r="I69" t="e">
        <f>E69/H69</f>
        <v>#DIV/0!</v>
      </c>
    </row>
    <row r="70" spans="1:9" x14ac:dyDescent="0.25">
      <c r="A70" t="s">
        <v>550</v>
      </c>
      <c r="B70" t="s">
        <v>551</v>
      </c>
      <c r="C70">
        <v>473049</v>
      </c>
      <c r="D70">
        <v>420995</v>
      </c>
      <c r="E70">
        <v>0</v>
      </c>
      <c r="F70">
        <v>0</v>
      </c>
      <c r="G70">
        <v>306379</v>
      </c>
      <c r="H70">
        <v>0</v>
      </c>
      <c r="I70" t="e">
        <f>E70/H70</f>
        <v>#DIV/0!</v>
      </c>
    </row>
    <row r="71" spans="1:9" x14ac:dyDescent="0.25">
      <c r="A71" t="s">
        <v>552</v>
      </c>
      <c r="B71" t="s">
        <v>553</v>
      </c>
      <c r="C71">
        <v>418020</v>
      </c>
      <c r="D71">
        <v>0</v>
      </c>
      <c r="E71">
        <v>0</v>
      </c>
      <c r="F71">
        <v>0</v>
      </c>
      <c r="G71">
        <v>0</v>
      </c>
      <c r="H71">
        <v>0</v>
      </c>
      <c r="I71" t="e">
        <f>E71/H71</f>
        <v>#DIV/0!</v>
      </c>
    </row>
    <row r="72" spans="1:9" x14ac:dyDescent="0.25">
      <c r="A72" t="s">
        <v>554</v>
      </c>
      <c r="B72" t="s">
        <v>555</v>
      </c>
      <c r="C72">
        <v>423365</v>
      </c>
      <c r="D72">
        <v>0</v>
      </c>
      <c r="E72">
        <v>0</v>
      </c>
      <c r="F72">
        <v>0</v>
      </c>
      <c r="G72">
        <v>0</v>
      </c>
      <c r="H72">
        <v>0</v>
      </c>
      <c r="I72" t="e">
        <f>E72/H72</f>
        <v>#DIV/0!</v>
      </c>
    </row>
    <row r="73" spans="1:9" x14ac:dyDescent="0.25">
      <c r="A73" t="s">
        <v>556</v>
      </c>
      <c r="B73" t="s">
        <v>557</v>
      </c>
      <c r="C73">
        <v>423365</v>
      </c>
      <c r="D73">
        <v>0</v>
      </c>
      <c r="E73">
        <v>0</v>
      </c>
      <c r="F73">
        <v>0</v>
      </c>
      <c r="G73">
        <v>0</v>
      </c>
      <c r="H73">
        <v>0</v>
      </c>
      <c r="I73" t="e">
        <f>E73/H73</f>
        <v>#DIV/0!</v>
      </c>
    </row>
    <row r="74" spans="1:9" x14ac:dyDescent="0.25">
      <c r="A74" t="s">
        <v>558</v>
      </c>
      <c r="B74" t="s">
        <v>559</v>
      </c>
      <c r="C74">
        <v>250974</v>
      </c>
      <c r="D74">
        <v>321989</v>
      </c>
      <c r="E74">
        <v>0</v>
      </c>
      <c r="F74">
        <v>0</v>
      </c>
      <c r="G74">
        <v>0</v>
      </c>
      <c r="H74">
        <v>0</v>
      </c>
      <c r="I74" t="e">
        <f>E74/H74</f>
        <v>#DIV/0!</v>
      </c>
    </row>
    <row r="75" spans="1:9" x14ac:dyDescent="0.25">
      <c r="A75" t="s">
        <v>560</v>
      </c>
      <c r="B75" t="s">
        <v>561</v>
      </c>
      <c r="C75">
        <v>250974</v>
      </c>
      <c r="D75">
        <v>321989</v>
      </c>
      <c r="E75">
        <v>0</v>
      </c>
      <c r="F75">
        <v>0</v>
      </c>
      <c r="G75">
        <v>0</v>
      </c>
      <c r="H75">
        <v>0</v>
      </c>
      <c r="I75" t="e">
        <f>E75/H75</f>
        <v>#DIV/0!</v>
      </c>
    </row>
    <row r="76" spans="1:9" x14ac:dyDescent="0.25">
      <c r="A76" t="s">
        <v>562</v>
      </c>
      <c r="B76" t="s">
        <v>563</v>
      </c>
      <c r="C76">
        <v>250974</v>
      </c>
      <c r="D76">
        <v>321989</v>
      </c>
      <c r="E76">
        <v>0</v>
      </c>
      <c r="F76">
        <v>0</v>
      </c>
      <c r="G76">
        <v>0</v>
      </c>
      <c r="H76">
        <v>0</v>
      </c>
      <c r="I76" t="e">
        <f>E76/H76</f>
        <v>#DIV/0!</v>
      </c>
    </row>
    <row r="77" spans="1:9" x14ac:dyDescent="0.25">
      <c r="A77" t="s">
        <v>564</v>
      </c>
      <c r="B77" t="s">
        <v>559</v>
      </c>
      <c r="C77">
        <v>250974</v>
      </c>
      <c r="D77">
        <v>350165</v>
      </c>
      <c r="E77">
        <v>0</v>
      </c>
      <c r="F77">
        <v>0</v>
      </c>
      <c r="G77">
        <v>0</v>
      </c>
      <c r="H77">
        <v>0</v>
      </c>
      <c r="I77" t="e">
        <f>E77/H77</f>
        <v>#DIV/0!</v>
      </c>
    </row>
    <row r="78" spans="1:9" x14ac:dyDescent="0.25">
      <c r="A78" t="s">
        <v>565</v>
      </c>
      <c r="B78" t="s">
        <v>566</v>
      </c>
      <c r="C78">
        <v>413334</v>
      </c>
      <c r="D78">
        <v>245239</v>
      </c>
      <c r="E78">
        <v>0</v>
      </c>
      <c r="F78">
        <v>0</v>
      </c>
      <c r="G78">
        <v>0</v>
      </c>
      <c r="H78">
        <v>0</v>
      </c>
      <c r="I78" t="e">
        <f>E78/H78</f>
        <v>#DIV/0!</v>
      </c>
    </row>
    <row r="79" spans="1:9" x14ac:dyDescent="0.25">
      <c r="A79" t="s">
        <v>567</v>
      </c>
      <c r="B79" t="s">
        <v>568</v>
      </c>
      <c r="C79">
        <v>292094</v>
      </c>
      <c r="D79">
        <v>0</v>
      </c>
      <c r="E79">
        <v>1461863</v>
      </c>
      <c r="F79">
        <v>1340366</v>
      </c>
      <c r="G79">
        <v>0</v>
      </c>
      <c r="H79">
        <v>0</v>
      </c>
      <c r="I79" t="e">
        <f>E79/H79</f>
        <v>#DIV/0!</v>
      </c>
    </row>
    <row r="80" spans="1:9" x14ac:dyDescent="0.25">
      <c r="A80" t="s">
        <v>569</v>
      </c>
      <c r="B80" t="s">
        <v>570</v>
      </c>
      <c r="C80">
        <v>57058</v>
      </c>
      <c r="D80">
        <v>0</v>
      </c>
      <c r="E80">
        <v>0</v>
      </c>
      <c r="F80">
        <v>0</v>
      </c>
      <c r="G80">
        <v>0</v>
      </c>
      <c r="H80">
        <v>0</v>
      </c>
      <c r="I80" t="e">
        <f>E80/H80</f>
        <v>#DIV/0!</v>
      </c>
    </row>
    <row r="81" spans="1:9" x14ac:dyDescent="0.25">
      <c r="A81" t="s">
        <v>571</v>
      </c>
      <c r="B81" t="s">
        <v>572</v>
      </c>
      <c r="C81">
        <v>281205</v>
      </c>
      <c r="D81">
        <v>0</v>
      </c>
      <c r="E81">
        <v>0</v>
      </c>
      <c r="F81">
        <v>0</v>
      </c>
      <c r="G81">
        <v>0</v>
      </c>
      <c r="H81">
        <v>0</v>
      </c>
      <c r="I81" t="e">
        <f>E81/H81</f>
        <v>#DIV/0!</v>
      </c>
    </row>
    <row r="82" spans="1:9" x14ac:dyDescent="0.25">
      <c r="A82" t="s">
        <v>573</v>
      </c>
      <c r="B82" t="s">
        <v>574</v>
      </c>
      <c r="C82">
        <v>292737</v>
      </c>
      <c r="D82">
        <v>0</v>
      </c>
      <c r="E82">
        <v>0</v>
      </c>
      <c r="F82">
        <v>0</v>
      </c>
      <c r="G82">
        <v>0</v>
      </c>
      <c r="H82">
        <v>0</v>
      </c>
      <c r="I82" t="e">
        <f>E82/H82</f>
        <v>#DIV/0!</v>
      </c>
    </row>
    <row r="83" spans="1:9" x14ac:dyDescent="0.25">
      <c r="A83" t="s">
        <v>575</v>
      </c>
      <c r="B83" t="s">
        <v>576</v>
      </c>
      <c r="C83">
        <v>680613</v>
      </c>
      <c r="D83">
        <v>432517</v>
      </c>
      <c r="E83">
        <v>0</v>
      </c>
      <c r="F83">
        <v>0</v>
      </c>
      <c r="G83">
        <v>0</v>
      </c>
      <c r="H83">
        <v>0</v>
      </c>
      <c r="I83" t="e">
        <f>E83/H83</f>
        <v>#DIV/0!</v>
      </c>
    </row>
    <row r="84" spans="1:9" x14ac:dyDescent="0.25">
      <c r="A84" t="s">
        <v>577</v>
      </c>
      <c r="B84" t="s">
        <v>578</v>
      </c>
      <c r="C84">
        <v>807867</v>
      </c>
      <c r="D84">
        <v>462924</v>
      </c>
      <c r="E84">
        <v>0</v>
      </c>
      <c r="F84">
        <v>0</v>
      </c>
      <c r="G84">
        <v>0</v>
      </c>
      <c r="H84">
        <v>0</v>
      </c>
      <c r="I84" t="e">
        <f>E84/H84</f>
        <v>#DIV/0!</v>
      </c>
    </row>
    <row r="85" spans="1:9" x14ac:dyDescent="0.25">
      <c r="A85" t="s">
        <v>579</v>
      </c>
      <c r="B85" t="s">
        <v>580</v>
      </c>
      <c r="C85">
        <v>155175</v>
      </c>
      <c r="D85">
        <v>0</v>
      </c>
      <c r="E85">
        <v>0</v>
      </c>
      <c r="F85">
        <v>0</v>
      </c>
      <c r="G85">
        <v>246418</v>
      </c>
      <c r="H85">
        <v>0</v>
      </c>
      <c r="I85" t="e">
        <f>E85/H85</f>
        <v>#DIV/0!</v>
      </c>
    </row>
    <row r="86" spans="1:9" x14ac:dyDescent="0.25">
      <c r="A86" t="s">
        <v>581</v>
      </c>
      <c r="B86" t="s">
        <v>582</v>
      </c>
      <c r="C86">
        <v>394852</v>
      </c>
      <c r="D86">
        <v>0</v>
      </c>
      <c r="E86">
        <v>0</v>
      </c>
      <c r="F86">
        <v>0</v>
      </c>
      <c r="G86">
        <v>0</v>
      </c>
      <c r="H86">
        <v>0</v>
      </c>
      <c r="I86" t="e">
        <f>E86/H86</f>
        <v>#DIV/0!</v>
      </c>
    </row>
    <row r="87" spans="1:9" x14ac:dyDescent="0.25">
      <c r="A87" t="s">
        <v>583</v>
      </c>
      <c r="B87" t="s">
        <v>584</v>
      </c>
      <c r="C87">
        <v>230725</v>
      </c>
      <c r="D87">
        <v>364914</v>
      </c>
      <c r="E87">
        <v>0</v>
      </c>
      <c r="F87">
        <v>0</v>
      </c>
      <c r="G87">
        <v>0</v>
      </c>
      <c r="H87">
        <v>0</v>
      </c>
      <c r="I87" t="e">
        <f>E87/H87</f>
        <v>#DIV/0!</v>
      </c>
    </row>
    <row r="88" spans="1:9" x14ac:dyDescent="0.25">
      <c r="A88" t="s">
        <v>585</v>
      </c>
      <c r="B88" t="s">
        <v>584</v>
      </c>
      <c r="C88">
        <v>225169</v>
      </c>
      <c r="D88">
        <v>320145</v>
      </c>
      <c r="E88">
        <v>0</v>
      </c>
      <c r="F88">
        <v>0</v>
      </c>
      <c r="G88">
        <v>0</v>
      </c>
      <c r="H88">
        <v>0</v>
      </c>
      <c r="I88" t="e">
        <f>E88/H88</f>
        <v>#DIV/0!</v>
      </c>
    </row>
    <row r="89" spans="1:9" x14ac:dyDescent="0.25">
      <c r="A89" t="s">
        <v>586</v>
      </c>
      <c r="B89" t="s">
        <v>587</v>
      </c>
      <c r="C89">
        <v>225169</v>
      </c>
      <c r="D89">
        <v>320145</v>
      </c>
      <c r="E89">
        <v>0</v>
      </c>
      <c r="F89">
        <v>0</v>
      </c>
      <c r="G89">
        <v>0</v>
      </c>
      <c r="H89">
        <v>0</v>
      </c>
      <c r="I89" t="e">
        <f>E89/H89</f>
        <v>#DIV/0!</v>
      </c>
    </row>
    <row r="90" spans="1:9" x14ac:dyDescent="0.25">
      <c r="A90" t="s">
        <v>588</v>
      </c>
      <c r="B90" t="s">
        <v>589</v>
      </c>
      <c r="C90">
        <v>600204</v>
      </c>
      <c r="D90">
        <v>265416</v>
      </c>
      <c r="E90">
        <v>0</v>
      </c>
      <c r="F90">
        <v>0</v>
      </c>
      <c r="G90">
        <v>0</v>
      </c>
      <c r="H90">
        <v>0</v>
      </c>
      <c r="I90" t="e">
        <f>E90/H90</f>
        <v>#DIV/0!</v>
      </c>
    </row>
    <row r="91" spans="1:9" x14ac:dyDescent="0.25">
      <c r="A91" t="s">
        <v>590</v>
      </c>
      <c r="B91" t="s">
        <v>591</v>
      </c>
      <c r="C91">
        <v>164406</v>
      </c>
      <c r="D91">
        <v>135048</v>
      </c>
      <c r="E91">
        <v>0</v>
      </c>
      <c r="F91">
        <v>0</v>
      </c>
      <c r="G91">
        <v>0</v>
      </c>
      <c r="H91">
        <v>0</v>
      </c>
      <c r="I91" t="e">
        <f>E91/H91</f>
        <v>#DIV/0!</v>
      </c>
    </row>
    <row r="92" spans="1:9" x14ac:dyDescent="0.25">
      <c r="A92" t="s">
        <v>592</v>
      </c>
      <c r="B92" t="s">
        <v>593</v>
      </c>
      <c r="C92">
        <v>164406</v>
      </c>
      <c r="D92">
        <v>135048</v>
      </c>
      <c r="E92">
        <v>0</v>
      </c>
      <c r="F92">
        <v>0</v>
      </c>
      <c r="G92">
        <v>0</v>
      </c>
      <c r="H92">
        <v>0</v>
      </c>
      <c r="I92" t="e">
        <f>E92/H92</f>
        <v>#DIV/0!</v>
      </c>
    </row>
    <row r="93" spans="1:9" x14ac:dyDescent="0.25">
      <c r="A93" t="s">
        <v>594</v>
      </c>
      <c r="B93" t="s">
        <v>595</v>
      </c>
      <c r="C93">
        <v>164406</v>
      </c>
      <c r="D93">
        <v>148932</v>
      </c>
      <c r="E93">
        <v>0</v>
      </c>
      <c r="F93">
        <v>0</v>
      </c>
      <c r="G93">
        <v>0</v>
      </c>
      <c r="H93">
        <v>0</v>
      </c>
      <c r="I93" t="e">
        <f>E93/H93</f>
        <v>#DIV/0!</v>
      </c>
    </row>
    <row r="94" spans="1:9" x14ac:dyDescent="0.25">
      <c r="A94" t="s">
        <v>596</v>
      </c>
      <c r="B94" t="s">
        <v>597</v>
      </c>
      <c r="C94">
        <v>100781</v>
      </c>
      <c r="D94">
        <v>0</v>
      </c>
      <c r="E94">
        <v>227725</v>
      </c>
      <c r="F94">
        <v>201055</v>
      </c>
      <c r="G94">
        <v>0</v>
      </c>
      <c r="H94">
        <v>0</v>
      </c>
      <c r="I94" t="e">
        <f>E94/H94</f>
        <v>#DIV/0!</v>
      </c>
    </row>
    <row r="95" spans="1:9" x14ac:dyDescent="0.25">
      <c r="A95" t="s">
        <v>598</v>
      </c>
      <c r="B95" t="s">
        <v>599</v>
      </c>
      <c r="C95">
        <v>100781</v>
      </c>
      <c r="D95">
        <v>0</v>
      </c>
      <c r="E95">
        <v>227725</v>
      </c>
      <c r="F95">
        <v>201055</v>
      </c>
      <c r="G95">
        <v>0</v>
      </c>
      <c r="H95">
        <v>0</v>
      </c>
      <c r="I95" t="e">
        <f>E95/H95</f>
        <v>#DIV/0!</v>
      </c>
    </row>
    <row r="96" spans="1:9" x14ac:dyDescent="0.25">
      <c r="A96" t="s">
        <v>600</v>
      </c>
      <c r="B96" t="s">
        <v>601</v>
      </c>
      <c r="C96">
        <v>100781</v>
      </c>
      <c r="D96">
        <v>0</v>
      </c>
      <c r="E96">
        <v>293390</v>
      </c>
      <c r="F96">
        <v>255026</v>
      </c>
      <c r="G96">
        <v>0</v>
      </c>
      <c r="H96">
        <v>0</v>
      </c>
      <c r="I96" t="e">
        <f>E96/H96</f>
        <v>#DIV/0!</v>
      </c>
    </row>
    <row r="97" spans="1:9" x14ac:dyDescent="0.25">
      <c r="A97" t="s">
        <v>602</v>
      </c>
      <c r="B97" t="s">
        <v>603</v>
      </c>
      <c r="C97">
        <v>144956</v>
      </c>
      <c r="D97">
        <v>135048</v>
      </c>
      <c r="E97">
        <v>0</v>
      </c>
      <c r="F97">
        <v>0</v>
      </c>
      <c r="G97">
        <v>0</v>
      </c>
      <c r="H97">
        <v>0</v>
      </c>
      <c r="I97" t="e">
        <f>E97/H97</f>
        <v>#DIV/0!</v>
      </c>
    </row>
    <row r="98" spans="1:9" x14ac:dyDescent="0.25">
      <c r="A98" t="s">
        <v>604</v>
      </c>
      <c r="B98" t="s">
        <v>605</v>
      </c>
      <c r="C98">
        <v>81476</v>
      </c>
      <c r="D98">
        <v>0</v>
      </c>
      <c r="E98">
        <v>0</v>
      </c>
      <c r="F98">
        <v>0</v>
      </c>
      <c r="G98">
        <v>0</v>
      </c>
      <c r="H98">
        <v>0</v>
      </c>
      <c r="I98" t="e">
        <f>E98/H98</f>
        <v>#DIV/0!</v>
      </c>
    </row>
    <row r="99" spans="1:9" x14ac:dyDescent="0.25">
      <c r="A99" t="s">
        <v>606</v>
      </c>
      <c r="B99" t="s">
        <v>607</v>
      </c>
      <c r="C99">
        <v>88131</v>
      </c>
      <c r="D99">
        <v>0</v>
      </c>
      <c r="E99">
        <v>0</v>
      </c>
      <c r="F99">
        <v>0</v>
      </c>
      <c r="G99">
        <v>0</v>
      </c>
      <c r="H99">
        <v>0</v>
      </c>
      <c r="I99" t="e">
        <f>E99/H99</f>
        <v>#DIV/0!</v>
      </c>
    </row>
    <row r="100" spans="1:9" x14ac:dyDescent="0.25">
      <c r="A100" t="s">
        <v>608</v>
      </c>
      <c r="B100" t="s">
        <v>609</v>
      </c>
      <c r="C100">
        <v>146310</v>
      </c>
      <c r="D100">
        <v>151872</v>
      </c>
      <c r="E100">
        <v>0</v>
      </c>
      <c r="F100">
        <v>0</v>
      </c>
      <c r="G100">
        <v>0</v>
      </c>
      <c r="H100">
        <v>0</v>
      </c>
      <c r="I100" t="e">
        <f>E100/H100</f>
        <v>#DIV/0!</v>
      </c>
    </row>
    <row r="101" spans="1:9" x14ac:dyDescent="0.25">
      <c r="A101" t="s">
        <v>610</v>
      </c>
      <c r="B101" t="s">
        <v>611</v>
      </c>
      <c r="C101">
        <v>162300</v>
      </c>
      <c r="D101">
        <v>288899</v>
      </c>
      <c r="E101">
        <v>0</v>
      </c>
      <c r="F101">
        <v>0</v>
      </c>
      <c r="G101">
        <v>0</v>
      </c>
      <c r="H101">
        <v>0</v>
      </c>
      <c r="I101" t="e">
        <f>E101/H101</f>
        <v>#DIV/0!</v>
      </c>
    </row>
    <row r="102" spans="1:9" x14ac:dyDescent="0.25">
      <c r="A102" t="s">
        <v>612</v>
      </c>
      <c r="B102" t="s">
        <v>613</v>
      </c>
      <c r="C102">
        <v>162300</v>
      </c>
      <c r="D102">
        <v>288899</v>
      </c>
      <c r="E102">
        <v>0</v>
      </c>
      <c r="F102">
        <v>0</v>
      </c>
      <c r="G102">
        <v>0</v>
      </c>
      <c r="H102">
        <v>0</v>
      </c>
      <c r="I102" t="e">
        <f>E102/H102</f>
        <v>#DIV/0!</v>
      </c>
    </row>
    <row r="103" spans="1:9" x14ac:dyDescent="0.25">
      <c r="A103" t="s">
        <v>614</v>
      </c>
      <c r="B103" t="s">
        <v>615</v>
      </c>
      <c r="C103">
        <v>200970</v>
      </c>
      <c r="D103">
        <v>244444</v>
      </c>
      <c r="E103">
        <v>0</v>
      </c>
      <c r="F103">
        <v>0</v>
      </c>
      <c r="G103">
        <v>0</v>
      </c>
      <c r="H103">
        <v>0</v>
      </c>
      <c r="I103" t="e">
        <f>E103/H103</f>
        <v>#DIV/0!</v>
      </c>
    </row>
    <row r="104" spans="1:9" x14ac:dyDescent="0.25">
      <c r="A104" t="s">
        <v>616</v>
      </c>
      <c r="B104" t="s">
        <v>617</v>
      </c>
      <c r="C104">
        <v>54263</v>
      </c>
      <c r="D104">
        <v>0</v>
      </c>
      <c r="E104">
        <v>0</v>
      </c>
      <c r="F104">
        <v>0</v>
      </c>
      <c r="G104">
        <v>0</v>
      </c>
      <c r="H104">
        <v>0</v>
      </c>
      <c r="I104" t="e">
        <f>E104/H104</f>
        <v>#DIV/0!</v>
      </c>
    </row>
    <row r="105" spans="1:9" x14ac:dyDescent="0.25">
      <c r="A105" t="s">
        <v>618</v>
      </c>
      <c r="B105" t="s">
        <v>619</v>
      </c>
      <c r="C105">
        <v>54263</v>
      </c>
      <c r="D105">
        <v>0</v>
      </c>
      <c r="E105">
        <v>0</v>
      </c>
      <c r="F105">
        <v>0</v>
      </c>
      <c r="G105">
        <v>0</v>
      </c>
      <c r="H105">
        <v>0</v>
      </c>
      <c r="I105" t="e">
        <f>E105/H105</f>
        <v>#DIV/0!</v>
      </c>
    </row>
    <row r="106" spans="1:9" x14ac:dyDescent="0.25">
      <c r="A106" t="s">
        <v>620</v>
      </c>
      <c r="B106" t="s">
        <v>621</v>
      </c>
      <c r="C106">
        <v>140607</v>
      </c>
      <c r="D106">
        <v>148348</v>
      </c>
      <c r="E106">
        <v>0</v>
      </c>
      <c r="F106">
        <v>0</v>
      </c>
      <c r="G106">
        <v>0</v>
      </c>
      <c r="H106">
        <v>0</v>
      </c>
      <c r="I106" t="e">
        <f>E106/H106</f>
        <v>#DIV/0!</v>
      </c>
    </row>
    <row r="107" spans="1:9" x14ac:dyDescent="0.25">
      <c r="A107" t="s">
        <v>622</v>
      </c>
      <c r="B107" t="s">
        <v>623</v>
      </c>
      <c r="C107">
        <v>152008</v>
      </c>
      <c r="D107">
        <v>0</v>
      </c>
      <c r="E107">
        <v>0</v>
      </c>
      <c r="F107">
        <v>0</v>
      </c>
      <c r="G107">
        <v>0</v>
      </c>
      <c r="H107">
        <v>0</v>
      </c>
      <c r="I107" t="e">
        <f>E107/H107</f>
        <v>#DIV/0!</v>
      </c>
    </row>
    <row r="108" spans="1:9" x14ac:dyDescent="0.25">
      <c r="A108" t="s">
        <v>624</v>
      </c>
      <c r="B108" t="s">
        <v>625</v>
      </c>
      <c r="C108">
        <v>152008</v>
      </c>
      <c r="D108">
        <v>0</v>
      </c>
      <c r="E108">
        <v>0</v>
      </c>
      <c r="F108">
        <v>0</v>
      </c>
      <c r="G108">
        <v>0</v>
      </c>
      <c r="H108">
        <v>0</v>
      </c>
      <c r="I108" t="e">
        <f>E108/H108</f>
        <v>#DIV/0!</v>
      </c>
    </row>
    <row r="109" spans="1:9" x14ac:dyDescent="0.25">
      <c r="A109" t="s">
        <v>626</v>
      </c>
      <c r="B109" t="s">
        <v>627</v>
      </c>
      <c r="C109">
        <v>470784</v>
      </c>
      <c r="D109">
        <v>0</v>
      </c>
      <c r="E109">
        <v>1967538</v>
      </c>
      <c r="F109">
        <v>1545358</v>
      </c>
      <c r="G109">
        <v>240801</v>
      </c>
      <c r="H109">
        <v>0</v>
      </c>
      <c r="I109" t="e">
        <f>E109/H109</f>
        <v>#DIV/0!</v>
      </c>
    </row>
    <row r="110" spans="1:9" x14ac:dyDescent="0.25">
      <c r="A110" t="s">
        <v>628</v>
      </c>
      <c r="B110" t="s">
        <v>629</v>
      </c>
      <c r="C110">
        <v>171087</v>
      </c>
      <c r="D110">
        <v>0</v>
      </c>
      <c r="E110">
        <v>0</v>
      </c>
      <c r="F110">
        <v>0</v>
      </c>
      <c r="G110">
        <v>0</v>
      </c>
      <c r="H110">
        <v>0</v>
      </c>
      <c r="I110" t="e">
        <f>E110/H110</f>
        <v>#DIV/0!</v>
      </c>
    </row>
    <row r="111" spans="1:9" x14ac:dyDescent="0.25">
      <c r="A111" t="s">
        <v>630</v>
      </c>
      <c r="B111" t="s">
        <v>631</v>
      </c>
      <c r="C111">
        <v>48459</v>
      </c>
      <c r="D111">
        <v>0</v>
      </c>
      <c r="E111">
        <v>26325</v>
      </c>
      <c r="F111">
        <v>0</v>
      </c>
      <c r="G111">
        <v>0</v>
      </c>
      <c r="H111">
        <v>0</v>
      </c>
      <c r="I111" t="e">
        <f>E111/H111</f>
        <v>#DIV/0!</v>
      </c>
    </row>
    <row r="112" spans="1:9" x14ac:dyDescent="0.25">
      <c r="A112" t="s">
        <v>632</v>
      </c>
      <c r="B112" t="s">
        <v>633</v>
      </c>
      <c r="C112">
        <v>48459</v>
      </c>
      <c r="D112">
        <v>0</v>
      </c>
      <c r="E112">
        <v>65958</v>
      </c>
      <c r="F112">
        <v>0</v>
      </c>
      <c r="G112">
        <v>0</v>
      </c>
      <c r="H112">
        <v>0</v>
      </c>
      <c r="I112" t="e">
        <f>E112/H112</f>
        <v>#DIV/0!</v>
      </c>
    </row>
    <row r="113" spans="1:9" x14ac:dyDescent="0.25">
      <c r="A113" t="s">
        <v>634</v>
      </c>
      <c r="B113" t="s">
        <v>635</v>
      </c>
      <c r="C113">
        <v>388807</v>
      </c>
      <c r="D113">
        <v>256648</v>
      </c>
      <c r="E113">
        <v>181676</v>
      </c>
      <c r="F113">
        <v>0</v>
      </c>
      <c r="G113">
        <v>0</v>
      </c>
      <c r="H113">
        <v>0</v>
      </c>
      <c r="I113" t="e">
        <f>E113/H113</f>
        <v>#DIV/0!</v>
      </c>
    </row>
    <row r="114" spans="1:9" x14ac:dyDescent="0.25">
      <c r="A114" t="s">
        <v>636</v>
      </c>
      <c r="B114" t="s">
        <v>637</v>
      </c>
      <c r="C114">
        <v>388807</v>
      </c>
      <c r="D114">
        <v>257325</v>
      </c>
      <c r="E114">
        <v>181676</v>
      </c>
      <c r="F114">
        <v>0</v>
      </c>
      <c r="G114">
        <v>0</v>
      </c>
      <c r="H114">
        <v>0</v>
      </c>
      <c r="I114" t="e">
        <f>E114/H114</f>
        <v>#DIV/0!</v>
      </c>
    </row>
    <row r="115" spans="1:9" x14ac:dyDescent="0.25">
      <c r="A115" t="s">
        <v>638</v>
      </c>
      <c r="B115" t="s">
        <v>639</v>
      </c>
      <c r="C115">
        <v>79384</v>
      </c>
      <c r="D115">
        <v>0</v>
      </c>
      <c r="E115">
        <v>0</v>
      </c>
      <c r="F115">
        <v>0</v>
      </c>
      <c r="G115">
        <v>0</v>
      </c>
      <c r="H115">
        <v>0</v>
      </c>
      <c r="I115" t="e">
        <f>E115/H115</f>
        <v>#DIV/0!</v>
      </c>
    </row>
    <row r="116" spans="1:9" x14ac:dyDescent="0.25">
      <c r="A116" t="s">
        <v>640</v>
      </c>
      <c r="B116" t="s">
        <v>641</v>
      </c>
      <c r="C116">
        <v>79384</v>
      </c>
      <c r="D116">
        <v>0</v>
      </c>
      <c r="E116">
        <v>0</v>
      </c>
      <c r="F116">
        <v>0</v>
      </c>
      <c r="G116">
        <v>0</v>
      </c>
      <c r="H116">
        <v>0</v>
      </c>
      <c r="I116" t="e">
        <f>E116/H116</f>
        <v>#DIV/0!</v>
      </c>
    </row>
    <row r="117" spans="1:9" x14ac:dyDescent="0.25">
      <c r="A117" t="s">
        <v>642</v>
      </c>
      <c r="B117" t="s">
        <v>643</v>
      </c>
      <c r="C117">
        <v>379609</v>
      </c>
      <c r="D117">
        <v>256648</v>
      </c>
      <c r="E117">
        <v>181676</v>
      </c>
      <c r="F117">
        <v>0</v>
      </c>
      <c r="G117">
        <v>0</v>
      </c>
      <c r="H117">
        <v>0</v>
      </c>
      <c r="I117" t="e">
        <f>E117/H117</f>
        <v>#DIV/0!</v>
      </c>
    </row>
    <row r="118" spans="1:9" x14ac:dyDescent="0.25">
      <c r="A118" t="s">
        <v>644</v>
      </c>
      <c r="B118" t="s">
        <v>645</v>
      </c>
      <c r="C118">
        <v>15044</v>
      </c>
      <c r="D118">
        <v>0</v>
      </c>
      <c r="E118">
        <v>0</v>
      </c>
      <c r="F118">
        <v>0</v>
      </c>
      <c r="G118">
        <v>0</v>
      </c>
      <c r="H118">
        <v>0</v>
      </c>
      <c r="I118" t="e">
        <f>E118/H118</f>
        <v>#DIV/0!</v>
      </c>
    </row>
    <row r="119" spans="1:9" x14ac:dyDescent="0.25">
      <c r="A119" t="s">
        <v>646</v>
      </c>
      <c r="B119" t="s">
        <v>647</v>
      </c>
      <c r="C119">
        <v>15044</v>
      </c>
      <c r="D119">
        <v>0</v>
      </c>
      <c r="E119">
        <v>0</v>
      </c>
      <c r="F119">
        <v>0</v>
      </c>
      <c r="G119">
        <v>0</v>
      </c>
      <c r="H119">
        <v>0</v>
      </c>
      <c r="I119" t="e">
        <f>E119/H119</f>
        <v>#DIV/0!</v>
      </c>
    </row>
    <row r="120" spans="1:9" x14ac:dyDescent="0.25">
      <c r="A120" t="s">
        <v>648</v>
      </c>
      <c r="B120" t="s">
        <v>649</v>
      </c>
      <c r="C120">
        <v>20748</v>
      </c>
      <c r="D120">
        <v>0</v>
      </c>
      <c r="E120">
        <v>0</v>
      </c>
      <c r="F120">
        <v>0</v>
      </c>
      <c r="G120">
        <v>0</v>
      </c>
      <c r="H120">
        <v>0</v>
      </c>
      <c r="I120" t="e">
        <f>E120/H120</f>
        <v>#DIV/0!</v>
      </c>
    </row>
    <row r="121" spans="1:9" x14ac:dyDescent="0.25">
      <c r="A121" t="s">
        <v>650</v>
      </c>
      <c r="B121" t="s">
        <v>651</v>
      </c>
      <c r="C121">
        <v>123772</v>
      </c>
      <c r="D121">
        <v>0</v>
      </c>
      <c r="E121">
        <v>920162</v>
      </c>
      <c r="F121">
        <v>0</v>
      </c>
      <c r="G121">
        <v>0</v>
      </c>
      <c r="H121">
        <v>0</v>
      </c>
      <c r="I121" t="e">
        <f>E121/H121</f>
        <v>#DIV/0!</v>
      </c>
    </row>
    <row r="122" spans="1:9" x14ac:dyDescent="0.25">
      <c r="A122" t="s">
        <v>652</v>
      </c>
      <c r="B122" t="s">
        <v>653</v>
      </c>
      <c r="C122">
        <v>123772</v>
      </c>
      <c r="D122">
        <v>0</v>
      </c>
      <c r="E122">
        <v>920162</v>
      </c>
      <c r="F122">
        <v>0</v>
      </c>
      <c r="G122">
        <v>0</v>
      </c>
      <c r="H122">
        <v>0</v>
      </c>
      <c r="I122" t="e">
        <f>E122/H122</f>
        <v>#DIV/0!</v>
      </c>
    </row>
    <row r="123" spans="1:9" x14ac:dyDescent="0.25">
      <c r="A123" t="s">
        <v>654</v>
      </c>
      <c r="B123" t="s">
        <v>655</v>
      </c>
      <c r="C123">
        <v>123772</v>
      </c>
      <c r="D123">
        <v>0</v>
      </c>
      <c r="E123">
        <v>1023945</v>
      </c>
      <c r="F123">
        <v>0</v>
      </c>
      <c r="G123">
        <v>0</v>
      </c>
      <c r="H123">
        <v>0</v>
      </c>
      <c r="I123" t="e">
        <f>E123/H123</f>
        <v>#DIV/0!</v>
      </c>
    </row>
    <row r="124" spans="1:9" x14ac:dyDescent="0.25">
      <c r="A124" t="s">
        <v>656</v>
      </c>
      <c r="B124" t="s">
        <v>657</v>
      </c>
      <c r="C124">
        <v>112173</v>
      </c>
      <c r="D124">
        <v>148348</v>
      </c>
      <c r="E124">
        <v>0</v>
      </c>
      <c r="F124">
        <v>0</v>
      </c>
      <c r="G124">
        <v>0</v>
      </c>
      <c r="H124">
        <v>0</v>
      </c>
      <c r="I124" t="e">
        <f>E124/H124</f>
        <v>#DIV/0!</v>
      </c>
    </row>
    <row r="125" spans="1:9" x14ac:dyDescent="0.25">
      <c r="A125" t="s">
        <v>658</v>
      </c>
      <c r="B125" t="s">
        <v>659</v>
      </c>
      <c r="C125">
        <v>68275</v>
      </c>
      <c r="D125">
        <v>0</v>
      </c>
      <c r="E125">
        <v>0</v>
      </c>
      <c r="F125">
        <v>0</v>
      </c>
      <c r="G125">
        <v>0</v>
      </c>
      <c r="H125">
        <v>0</v>
      </c>
      <c r="I125" t="e">
        <f>E125/H125</f>
        <v>#DIV/0!</v>
      </c>
    </row>
    <row r="126" spans="1:9" x14ac:dyDescent="0.25">
      <c r="A126" t="s">
        <v>660</v>
      </c>
      <c r="B126" t="s">
        <v>661</v>
      </c>
      <c r="C126">
        <v>22209</v>
      </c>
      <c r="D126">
        <v>0</v>
      </c>
      <c r="E126">
        <v>0</v>
      </c>
      <c r="F126">
        <v>0</v>
      </c>
      <c r="G126">
        <v>0</v>
      </c>
      <c r="H126">
        <v>0</v>
      </c>
      <c r="I126" t="e">
        <f>E126/H126</f>
        <v>#DIV/0!</v>
      </c>
    </row>
    <row r="127" spans="1:9" x14ac:dyDescent="0.25">
      <c r="A127" t="s">
        <v>662</v>
      </c>
      <c r="B127" t="s">
        <v>663</v>
      </c>
      <c r="C127">
        <v>10715</v>
      </c>
      <c r="D127">
        <v>0</v>
      </c>
      <c r="E127">
        <v>0</v>
      </c>
      <c r="F127">
        <v>0</v>
      </c>
      <c r="G127">
        <v>0</v>
      </c>
      <c r="H127">
        <v>0</v>
      </c>
      <c r="I127" t="e">
        <f>E127/H127</f>
        <v>#DIV/0!</v>
      </c>
    </row>
    <row r="128" spans="1:9" x14ac:dyDescent="0.25">
      <c r="A128" t="s">
        <v>664</v>
      </c>
      <c r="B128" t="s">
        <v>665</v>
      </c>
      <c r="C128">
        <v>10715</v>
      </c>
      <c r="D128">
        <v>0</v>
      </c>
      <c r="E128">
        <v>0</v>
      </c>
      <c r="F128">
        <v>0</v>
      </c>
      <c r="G128">
        <v>0</v>
      </c>
      <c r="H128">
        <v>0</v>
      </c>
      <c r="I128" t="e">
        <f>E128/H128</f>
        <v>#DIV/0!</v>
      </c>
    </row>
    <row r="129" spans="1:9" x14ac:dyDescent="0.25">
      <c r="A129" t="s">
        <v>666</v>
      </c>
      <c r="B129" t="s">
        <v>667</v>
      </c>
      <c r="C129">
        <v>37508</v>
      </c>
      <c r="D129">
        <v>0</v>
      </c>
      <c r="E129">
        <v>0</v>
      </c>
      <c r="F129">
        <v>0</v>
      </c>
      <c r="G129">
        <v>0</v>
      </c>
      <c r="H129">
        <v>0</v>
      </c>
      <c r="I129" t="e">
        <f>E129/H129</f>
        <v>#DIV/0!</v>
      </c>
    </row>
    <row r="130" spans="1:9" x14ac:dyDescent="0.25">
      <c r="A130" t="s">
        <v>668</v>
      </c>
      <c r="B130" t="s">
        <v>669</v>
      </c>
      <c r="C130">
        <v>74146</v>
      </c>
      <c r="D130">
        <v>0</v>
      </c>
      <c r="E130">
        <v>0</v>
      </c>
      <c r="F130">
        <v>0</v>
      </c>
      <c r="G130">
        <v>0</v>
      </c>
      <c r="H130">
        <v>0</v>
      </c>
      <c r="I130" t="e">
        <f>E130/H130</f>
        <v>#DIV/0!</v>
      </c>
    </row>
    <row r="131" spans="1:9" x14ac:dyDescent="0.25">
      <c r="A131" t="s">
        <v>670</v>
      </c>
      <c r="B131" t="s">
        <v>671</v>
      </c>
      <c r="C131">
        <v>76465</v>
      </c>
      <c r="D131">
        <v>0</v>
      </c>
      <c r="E131">
        <v>0</v>
      </c>
      <c r="F131">
        <v>0</v>
      </c>
      <c r="G131">
        <v>0</v>
      </c>
      <c r="H131">
        <v>0</v>
      </c>
      <c r="I131" t="e">
        <f>E131/H131</f>
        <v>#DIV/0!</v>
      </c>
    </row>
    <row r="132" spans="1:9" x14ac:dyDescent="0.25">
      <c r="A132" t="s">
        <v>672</v>
      </c>
      <c r="B132" t="s">
        <v>673</v>
      </c>
      <c r="C132">
        <v>14335</v>
      </c>
      <c r="D132">
        <v>0</v>
      </c>
      <c r="E132">
        <v>0</v>
      </c>
      <c r="F132">
        <v>0</v>
      </c>
      <c r="G132">
        <v>0</v>
      </c>
      <c r="H132">
        <v>0</v>
      </c>
      <c r="I132" t="e">
        <f>E132/H132</f>
        <v>#DIV/0!</v>
      </c>
    </row>
    <row r="133" spans="1:9" x14ac:dyDescent="0.25">
      <c r="A133" t="s">
        <v>674</v>
      </c>
      <c r="B133" t="s">
        <v>675</v>
      </c>
      <c r="C133">
        <v>14335</v>
      </c>
      <c r="D133">
        <v>0</v>
      </c>
      <c r="E133">
        <v>0</v>
      </c>
      <c r="F133">
        <v>0</v>
      </c>
      <c r="G133">
        <v>0</v>
      </c>
      <c r="H133">
        <v>0</v>
      </c>
      <c r="I133" t="e">
        <f>E133/H133</f>
        <v>#DIV/0!</v>
      </c>
    </row>
    <row r="134" spans="1:9" x14ac:dyDescent="0.25">
      <c r="A134" t="s">
        <v>676</v>
      </c>
      <c r="B134" t="s">
        <v>677</v>
      </c>
      <c r="C134">
        <v>14335</v>
      </c>
      <c r="D134">
        <v>0</v>
      </c>
      <c r="E134">
        <v>0</v>
      </c>
      <c r="F134">
        <v>0</v>
      </c>
      <c r="G134">
        <v>0</v>
      </c>
      <c r="H134">
        <v>0</v>
      </c>
      <c r="I134" t="e">
        <f>E134/H134</f>
        <v>#DIV/0!</v>
      </c>
    </row>
    <row r="135" spans="1:9" x14ac:dyDescent="0.25">
      <c r="A135" t="s">
        <v>678</v>
      </c>
      <c r="B135" t="s">
        <v>679</v>
      </c>
      <c r="C135">
        <v>21267</v>
      </c>
      <c r="D135">
        <v>0</v>
      </c>
      <c r="E135">
        <v>0</v>
      </c>
      <c r="F135">
        <v>0</v>
      </c>
      <c r="G135">
        <v>0</v>
      </c>
      <c r="H135">
        <v>0</v>
      </c>
      <c r="I135" t="e">
        <f>E135/H135</f>
        <v>#DIV/0!</v>
      </c>
    </row>
    <row r="136" spans="1:9" x14ac:dyDescent="0.25">
      <c r="A136" t="s">
        <v>680</v>
      </c>
      <c r="B136" t="s">
        <v>681</v>
      </c>
      <c r="C136">
        <v>70963</v>
      </c>
      <c r="D136">
        <v>0</v>
      </c>
      <c r="E136">
        <v>53401</v>
      </c>
      <c r="F136">
        <v>0</v>
      </c>
      <c r="G136">
        <v>77706</v>
      </c>
      <c r="H136">
        <v>0</v>
      </c>
      <c r="I136" t="e">
        <f>E136/H136</f>
        <v>#DIV/0!</v>
      </c>
    </row>
    <row r="137" spans="1:9" x14ac:dyDescent="0.25">
      <c r="A137" t="s">
        <v>682</v>
      </c>
      <c r="B137" t="s">
        <v>683</v>
      </c>
      <c r="C137">
        <v>67983</v>
      </c>
      <c r="D137">
        <v>0</v>
      </c>
      <c r="E137">
        <v>52656</v>
      </c>
      <c r="F137">
        <v>0</v>
      </c>
      <c r="G137">
        <v>67488</v>
      </c>
      <c r="H137">
        <v>0</v>
      </c>
      <c r="I137" t="e">
        <f>E137/H137</f>
        <v>#DIV/0!</v>
      </c>
    </row>
    <row r="138" spans="1:9" x14ac:dyDescent="0.25">
      <c r="A138" t="s">
        <v>684</v>
      </c>
      <c r="B138" t="s">
        <v>685</v>
      </c>
      <c r="C138">
        <v>70963</v>
      </c>
      <c r="D138">
        <v>0</v>
      </c>
      <c r="E138">
        <v>53401</v>
      </c>
      <c r="F138">
        <v>0</v>
      </c>
      <c r="G138">
        <v>77706</v>
      </c>
      <c r="H138">
        <v>0</v>
      </c>
      <c r="I138" t="e">
        <f>E138/H138</f>
        <v>#DIV/0!</v>
      </c>
    </row>
    <row r="139" spans="1:9" x14ac:dyDescent="0.25">
      <c r="A139" t="s">
        <v>686</v>
      </c>
      <c r="B139" t="s">
        <v>687</v>
      </c>
      <c r="C139">
        <v>33053</v>
      </c>
      <c r="D139">
        <v>0</v>
      </c>
      <c r="E139">
        <v>0</v>
      </c>
      <c r="F139">
        <v>0</v>
      </c>
      <c r="G139">
        <v>0</v>
      </c>
      <c r="H139">
        <v>0</v>
      </c>
      <c r="I139" t="e">
        <f>E139/H139</f>
        <v>#DIV/0!</v>
      </c>
    </row>
    <row r="140" spans="1:9" x14ac:dyDescent="0.25">
      <c r="A140" t="s">
        <v>688</v>
      </c>
      <c r="B140" t="s">
        <v>689</v>
      </c>
      <c r="C140">
        <v>33053</v>
      </c>
      <c r="D140">
        <v>0</v>
      </c>
      <c r="E140">
        <v>0</v>
      </c>
      <c r="F140">
        <v>0</v>
      </c>
      <c r="G140">
        <v>0</v>
      </c>
      <c r="H140">
        <v>0</v>
      </c>
      <c r="I140" t="e">
        <f>E140/H140</f>
        <v>#DIV/0!</v>
      </c>
    </row>
    <row r="141" spans="1:9" x14ac:dyDescent="0.25">
      <c r="A141" t="s">
        <v>690</v>
      </c>
      <c r="B141" t="s">
        <v>691</v>
      </c>
      <c r="C141">
        <v>29657</v>
      </c>
      <c r="D141">
        <v>0</v>
      </c>
      <c r="E141">
        <v>0</v>
      </c>
      <c r="F141">
        <v>0</v>
      </c>
      <c r="G141">
        <v>0</v>
      </c>
      <c r="H141">
        <v>0</v>
      </c>
      <c r="I141" t="e">
        <f>E141/H141</f>
        <v>#DIV/0!</v>
      </c>
    </row>
    <row r="142" spans="1:9" x14ac:dyDescent="0.25">
      <c r="A142" t="s">
        <v>692</v>
      </c>
      <c r="B142" t="s">
        <v>693</v>
      </c>
      <c r="C142">
        <v>29657</v>
      </c>
      <c r="D142">
        <v>0</v>
      </c>
      <c r="E142">
        <v>0</v>
      </c>
      <c r="F142">
        <v>0</v>
      </c>
      <c r="G142">
        <v>0</v>
      </c>
      <c r="H142">
        <v>0</v>
      </c>
      <c r="I142" t="e">
        <f>E142/H142</f>
        <v>#DIV/0!</v>
      </c>
    </row>
    <row r="143" spans="1:9" x14ac:dyDescent="0.25">
      <c r="A143" t="s">
        <v>694</v>
      </c>
      <c r="B143" t="s">
        <v>695</v>
      </c>
      <c r="C143">
        <v>431101</v>
      </c>
      <c r="D143">
        <v>0</v>
      </c>
      <c r="E143">
        <v>3244151</v>
      </c>
      <c r="F143">
        <v>2646548</v>
      </c>
      <c r="G143">
        <v>0</v>
      </c>
      <c r="H143">
        <v>0</v>
      </c>
      <c r="I143" t="e">
        <f>E143/H143</f>
        <v>#DIV/0!</v>
      </c>
    </row>
    <row r="144" spans="1:9" x14ac:dyDescent="0.25">
      <c r="A144" t="s">
        <v>696</v>
      </c>
      <c r="B144" t="s">
        <v>697</v>
      </c>
      <c r="C144">
        <v>49069</v>
      </c>
      <c r="D144">
        <v>0</v>
      </c>
      <c r="E144">
        <v>0</v>
      </c>
      <c r="F144">
        <v>0</v>
      </c>
      <c r="G144">
        <v>0</v>
      </c>
      <c r="H144">
        <v>0</v>
      </c>
      <c r="I144" t="e">
        <f>E144/H144</f>
        <v>#DIV/0!</v>
      </c>
    </row>
    <row r="145" spans="1:9" x14ac:dyDescent="0.25">
      <c r="A145" t="s">
        <v>698</v>
      </c>
      <c r="B145" t="s">
        <v>699</v>
      </c>
      <c r="C145">
        <v>49069</v>
      </c>
      <c r="D145">
        <v>0</v>
      </c>
      <c r="E145">
        <v>0</v>
      </c>
      <c r="F145">
        <v>0</v>
      </c>
      <c r="G145">
        <v>0</v>
      </c>
      <c r="H145">
        <v>0</v>
      </c>
      <c r="I145" t="e">
        <f>E145/H145</f>
        <v>#DIV/0!</v>
      </c>
    </row>
    <row r="146" spans="1:9" x14ac:dyDescent="0.25">
      <c r="A146" t="s">
        <v>700</v>
      </c>
      <c r="B146" t="s">
        <v>701</v>
      </c>
      <c r="C146">
        <v>62924</v>
      </c>
      <c r="D146">
        <v>0</v>
      </c>
      <c r="E146">
        <v>0</v>
      </c>
      <c r="F146">
        <v>0</v>
      </c>
      <c r="G146">
        <v>0</v>
      </c>
      <c r="H146">
        <v>0</v>
      </c>
      <c r="I146" t="e">
        <f>E146/H146</f>
        <v>#DIV/0!</v>
      </c>
    </row>
    <row r="147" spans="1:9" x14ac:dyDescent="0.25">
      <c r="A147" t="s">
        <v>702</v>
      </c>
      <c r="B147" t="s">
        <v>703</v>
      </c>
      <c r="C147">
        <v>75916</v>
      </c>
      <c r="D147">
        <v>0</v>
      </c>
      <c r="E147">
        <v>0</v>
      </c>
      <c r="F147">
        <v>0</v>
      </c>
      <c r="G147">
        <v>0</v>
      </c>
      <c r="H147">
        <v>0</v>
      </c>
      <c r="I147" t="e">
        <f>E147/H147</f>
        <v>#DIV/0!</v>
      </c>
    </row>
    <row r="148" spans="1:9" x14ac:dyDescent="0.25">
      <c r="A148" t="s">
        <v>704</v>
      </c>
      <c r="B148" t="s">
        <v>705</v>
      </c>
      <c r="C148">
        <v>142455</v>
      </c>
      <c r="D148">
        <v>0</v>
      </c>
      <c r="E148">
        <v>0</v>
      </c>
      <c r="F148">
        <v>0</v>
      </c>
      <c r="G148">
        <v>0</v>
      </c>
      <c r="H148">
        <v>0</v>
      </c>
      <c r="I148" t="e">
        <f>E148/H148</f>
        <v>#DIV/0!</v>
      </c>
    </row>
    <row r="149" spans="1:9" x14ac:dyDescent="0.25">
      <c r="A149" t="s">
        <v>706</v>
      </c>
      <c r="B149" t="s">
        <v>707</v>
      </c>
      <c r="C149">
        <v>458607</v>
      </c>
      <c r="D149">
        <v>0</v>
      </c>
      <c r="E149">
        <v>0</v>
      </c>
      <c r="F149">
        <v>0</v>
      </c>
      <c r="G149">
        <v>0</v>
      </c>
      <c r="H149">
        <v>0</v>
      </c>
      <c r="I149" t="e">
        <f>E149/H149</f>
        <v>#DIV/0!</v>
      </c>
    </row>
    <row r="150" spans="1:9" x14ac:dyDescent="0.25">
      <c r="A150" t="s">
        <v>708</v>
      </c>
      <c r="B150" t="s">
        <v>709</v>
      </c>
      <c r="C150">
        <v>458607</v>
      </c>
      <c r="D150">
        <v>0</v>
      </c>
      <c r="E150">
        <v>0</v>
      </c>
      <c r="F150">
        <v>0</v>
      </c>
      <c r="G150">
        <v>0</v>
      </c>
      <c r="H150">
        <v>0</v>
      </c>
      <c r="I150" t="e">
        <f>E150/H150</f>
        <v>#DIV/0!</v>
      </c>
    </row>
    <row r="151" spans="1:9" x14ac:dyDescent="0.25">
      <c r="A151" t="s">
        <v>710</v>
      </c>
      <c r="B151" t="s">
        <v>711</v>
      </c>
      <c r="C151">
        <v>458607</v>
      </c>
      <c r="D151">
        <v>0</v>
      </c>
      <c r="E151">
        <v>0</v>
      </c>
      <c r="F151">
        <v>0</v>
      </c>
      <c r="G151">
        <v>0</v>
      </c>
      <c r="H151">
        <v>0</v>
      </c>
      <c r="I151" t="e">
        <f>E151/H151</f>
        <v>#DIV/0!</v>
      </c>
    </row>
    <row r="152" spans="1:9" x14ac:dyDescent="0.25">
      <c r="A152" t="s">
        <v>712</v>
      </c>
      <c r="B152" t="s">
        <v>713</v>
      </c>
      <c r="C152">
        <v>63172</v>
      </c>
      <c r="D152">
        <v>0</v>
      </c>
      <c r="E152">
        <v>0</v>
      </c>
      <c r="F152">
        <v>0</v>
      </c>
      <c r="G152">
        <v>0</v>
      </c>
      <c r="H152">
        <v>0</v>
      </c>
      <c r="I152" t="e">
        <f>E152/H152</f>
        <v>#DIV/0!</v>
      </c>
    </row>
    <row r="153" spans="1:9" x14ac:dyDescent="0.25">
      <c r="A153" t="s">
        <v>714</v>
      </c>
      <c r="B153" t="s">
        <v>715</v>
      </c>
      <c r="C153">
        <v>51131</v>
      </c>
      <c r="D153">
        <v>0</v>
      </c>
      <c r="E153">
        <v>0</v>
      </c>
      <c r="F153">
        <v>0</v>
      </c>
      <c r="G153">
        <v>0</v>
      </c>
      <c r="H153">
        <v>0</v>
      </c>
      <c r="I153" t="e">
        <f>E153/H153</f>
        <v>#DIV/0!</v>
      </c>
    </row>
    <row r="154" spans="1:9" x14ac:dyDescent="0.25">
      <c r="A154" t="s">
        <v>716</v>
      </c>
      <c r="B154" t="s">
        <v>717</v>
      </c>
      <c r="C154">
        <v>51131</v>
      </c>
      <c r="D154">
        <v>0</v>
      </c>
      <c r="E154">
        <v>0</v>
      </c>
      <c r="F154">
        <v>0</v>
      </c>
      <c r="G154">
        <v>0</v>
      </c>
      <c r="H154">
        <v>0</v>
      </c>
      <c r="I154" t="e">
        <f>E154/H154</f>
        <v>#DIV/0!</v>
      </c>
    </row>
    <row r="155" spans="1:9" x14ac:dyDescent="0.25">
      <c r="A155" t="s">
        <v>718</v>
      </c>
      <c r="B155" t="s">
        <v>719</v>
      </c>
      <c r="C155">
        <v>191935</v>
      </c>
      <c r="D155">
        <v>0</v>
      </c>
      <c r="E155">
        <v>0</v>
      </c>
      <c r="F155">
        <v>0</v>
      </c>
      <c r="G155">
        <v>0</v>
      </c>
      <c r="H155">
        <v>0</v>
      </c>
      <c r="I155" t="e">
        <f>E155/H155</f>
        <v>#DIV/0!</v>
      </c>
    </row>
    <row r="156" spans="1:9" x14ac:dyDescent="0.25">
      <c r="A156" t="s">
        <v>720</v>
      </c>
      <c r="B156" t="s">
        <v>721</v>
      </c>
      <c r="C156">
        <v>314256</v>
      </c>
      <c r="D156">
        <v>418329</v>
      </c>
      <c r="E156">
        <v>0</v>
      </c>
      <c r="F156">
        <v>0</v>
      </c>
      <c r="G156">
        <v>316328</v>
      </c>
      <c r="H156">
        <v>0</v>
      </c>
      <c r="I156" t="e">
        <f>E156/H156</f>
        <v>#DIV/0!</v>
      </c>
    </row>
    <row r="157" spans="1:9" x14ac:dyDescent="0.25">
      <c r="A157" t="s">
        <v>722</v>
      </c>
      <c r="B157" t="s">
        <v>723</v>
      </c>
      <c r="C157">
        <v>91980</v>
      </c>
      <c r="D157">
        <v>0</v>
      </c>
      <c r="E157">
        <v>0</v>
      </c>
      <c r="F157">
        <v>0</v>
      </c>
      <c r="G157">
        <v>0</v>
      </c>
      <c r="H157">
        <v>0</v>
      </c>
      <c r="I157" t="e">
        <f>E157/H157</f>
        <v>#DIV/0!</v>
      </c>
    </row>
    <row r="158" spans="1:9" x14ac:dyDescent="0.25">
      <c r="A158" t="s">
        <v>724</v>
      </c>
      <c r="B158" t="s">
        <v>725</v>
      </c>
      <c r="C158">
        <v>19140</v>
      </c>
      <c r="D158">
        <v>0</v>
      </c>
      <c r="E158">
        <v>0</v>
      </c>
      <c r="F158">
        <v>0</v>
      </c>
      <c r="G158">
        <v>0</v>
      </c>
      <c r="H158">
        <v>0</v>
      </c>
      <c r="I158" t="e">
        <f>E158/H158</f>
        <v>#DIV/0!</v>
      </c>
    </row>
    <row r="159" spans="1:9" x14ac:dyDescent="0.25">
      <c r="A159" t="s">
        <v>726</v>
      </c>
      <c r="B159" t="s">
        <v>727</v>
      </c>
      <c r="C159">
        <v>302492</v>
      </c>
      <c r="D159">
        <v>0</v>
      </c>
      <c r="E159">
        <v>0</v>
      </c>
      <c r="F159">
        <v>0</v>
      </c>
      <c r="G159">
        <v>0</v>
      </c>
      <c r="H159">
        <v>0</v>
      </c>
      <c r="I159" t="e">
        <f>E159/H159</f>
        <v>#DIV/0!</v>
      </c>
    </row>
    <row r="160" spans="1:9" x14ac:dyDescent="0.25">
      <c r="A160" t="s">
        <v>728</v>
      </c>
      <c r="B160" t="s">
        <v>729</v>
      </c>
      <c r="C160">
        <v>379704</v>
      </c>
      <c r="D160">
        <v>0</v>
      </c>
      <c r="E160">
        <v>0</v>
      </c>
      <c r="F160">
        <v>0</v>
      </c>
      <c r="G160">
        <v>0</v>
      </c>
      <c r="H160">
        <v>0</v>
      </c>
      <c r="I160" t="e">
        <f>E160/H160</f>
        <v>#DIV/0!</v>
      </c>
    </row>
    <row r="161" spans="1:9" x14ac:dyDescent="0.25">
      <c r="A161" t="s">
        <v>730</v>
      </c>
      <c r="B161" t="s">
        <v>731</v>
      </c>
      <c r="C161">
        <v>383611</v>
      </c>
      <c r="D161">
        <v>256648</v>
      </c>
      <c r="E161">
        <v>0</v>
      </c>
      <c r="F161">
        <v>0</v>
      </c>
      <c r="G161">
        <v>0</v>
      </c>
      <c r="H161">
        <v>0</v>
      </c>
      <c r="I161" t="e">
        <f>E161/H161</f>
        <v>#DIV/0!</v>
      </c>
    </row>
    <row r="162" spans="1:9" x14ac:dyDescent="0.25">
      <c r="A162" t="s">
        <v>738</v>
      </c>
      <c r="B162" t="s">
        <v>739</v>
      </c>
      <c r="C162">
        <v>138659</v>
      </c>
      <c r="D162">
        <v>0</v>
      </c>
      <c r="E162">
        <v>0</v>
      </c>
      <c r="F162">
        <v>0</v>
      </c>
      <c r="G162">
        <v>0</v>
      </c>
      <c r="H162">
        <v>0</v>
      </c>
      <c r="I162" t="e">
        <f>E162/H162</f>
        <v>#DIV/0!</v>
      </c>
    </row>
    <row r="163" spans="1:9" x14ac:dyDescent="0.25">
      <c r="A163" t="s">
        <v>740</v>
      </c>
      <c r="B163" t="s">
        <v>741</v>
      </c>
      <c r="C163">
        <v>84978</v>
      </c>
      <c r="D163">
        <v>0</v>
      </c>
      <c r="E163">
        <v>0</v>
      </c>
      <c r="F163">
        <v>0</v>
      </c>
      <c r="G163">
        <v>0</v>
      </c>
      <c r="H163">
        <v>0</v>
      </c>
      <c r="I163" t="e">
        <f>E163/H163</f>
        <v>#DIV/0!</v>
      </c>
    </row>
    <row r="164" spans="1:9" x14ac:dyDescent="0.25">
      <c r="A164" t="s">
        <v>742</v>
      </c>
      <c r="B164" t="s">
        <v>743</v>
      </c>
      <c r="C164">
        <v>84978</v>
      </c>
      <c r="D164">
        <v>0</v>
      </c>
      <c r="E164">
        <v>0</v>
      </c>
      <c r="F164">
        <v>0</v>
      </c>
      <c r="G164">
        <v>0</v>
      </c>
      <c r="H164">
        <v>0</v>
      </c>
      <c r="I164" t="e">
        <f>E164/H164</f>
        <v>#DIV/0!</v>
      </c>
    </row>
    <row r="165" spans="1:9" x14ac:dyDescent="0.25">
      <c r="A165" t="s">
        <v>744</v>
      </c>
      <c r="B165" t="s">
        <v>745</v>
      </c>
      <c r="C165">
        <v>16880</v>
      </c>
      <c r="D165">
        <v>0</v>
      </c>
      <c r="E165">
        <v>0</v>
      </c>
      <c r="F165">
        <v>0</v>
      </c>
      <c r="G165">
        <v>0</v>
      </c>
      <c r="H165">
        <v>0</v>
      </c>
      <c r="I165" t="e">
        <f>E165/H165</f>
        <v>#DIV/0!</v>
      </c>
    </row>
    <row r="166" spans="1:9" x14ac:dyDescent="0.25">
      <c r="A166" t="s">
        <v>746</v>
      </c>
      <c r="B166" t="s">
        <v>747</v>
      </c>
      <c r="C166">
        <v>16880</v>
      </c>
      <c r="D166">
        <v>0</v>
      </c>
      <c r="E166">
        <v>0</v>
      </c>
      <c r="F166">
        <v>0</v>
      </c>
      <c r="G166">
        <v>0</v>
      </c>
      <c r="H166">
        <v>0</v>
      </c>
      <c r="I166" t="e">
        <f>E166/H166</f>
        <v>#DIV/0!</v>
      </c>
    </row>
    <row r="167" spans="1:9" x14ac:dyDescent="0.25">
      <c r="A167" t="s">
        <v>748</v>
      </c>
      <c r="B167" t="s">
        <v>749</v>
      </c>
      <c r="C167">
        <v>16880</v>
      </c>
      <c r="D167">
        <v>0</v>
      </c>
      <c r="E167">
        <v>0</v>
      </c>
      <c r="F167">
        <v>0</v>
      </c>
      <c r="G167">
        <v>0</v>
      </c>
      <c r="H167">
        <v>0</v>
      </c>
      <c r="I167" t="e">
        <f>E167/H167</f>
        <v>#DIV/0!</v>
      </c>
    </row>
    <row r="168" spans="1:9" x14ac:dyDescent="0.25">
      <c r="A168" t="s">
        <v>750</v>
      </c>
      <c r="B168" t="s">
        <v>751</v>
      </c>
      <c r="C168">
        <v>112212</v>
      </c>
      <c r="D168">
        <v>0</v>
      </c>
      <c r="E168">
        <v>0</v>
      </c>
      <c r="F168">
        <v>0</v>
      </c>
      <c r="G168">
        <v>0</v>
      </c>
      <c r="H168">
        <v>0</v>
      </c>
      <c r="I168" t="e">
        <f>E168/H168</f>
        <v>#DIV/0!</v>
      </c>
    </row>
    <row r="169" spans="1:9" x14ac:dyDescent="0.25">
      <c r="A169" t="s">
        <v>752</v>
      </c>
      <c r="B169" t="s">
        <v>753</v>
      </c>
      <c r="C169">
        <v>112212</v>
      </c>
      <c r="D169">
        <v>0</v>
      </c>
      <c r="E169">
        <v>0</v>
      </c>
      <c r="F169">
        <v>0</v>
      </c>
      <c r="G169">
        <v>0</v>
      </c>
      <c r="H169">
        <v>0</v>
      </c>
      <c r="I169" t="e">
        <f>E169/H169</f>
        <v>#DIV/0!</v>
      </c>
    </row>
    <row r="170" spans="1:9" x14ac:dyDescent="0.25">
      <c r="A170" t="s">
        <v>754</v>
      </c>
      <c r="B170" t="s">
        <v>755</v>
      </c>
      <c r="C170">
        <v>122402</v>
      </c>
      <c r="D170">
        <v>0</v>
      </c>
      <c r="E170">
        <v>0</v>
      </c>
      <c r="F170">
        <v>0</v>
      </c>
      <c r="G170">
        <v>0</v>
      </c>
      <c r="H170">
        <v>0</v>
      </c>
      <c r="I170" t="e">
        <f>E170/H170</f>
        <v>#DIV/0!</v>
      </c>
    </row>
    <row r="171" spans="1:9" x14ac:dyDescent="0.25">
      <c r="A171" t="s">
        <v>756</v>
      </c>
      <c r="B171" t="s">
        <v>757</v>
      </c>
      <c r="C171">
        <v>99586</v>
      </c>
      <c r="D171">
        <v>0</v>
      </c>
      <c r="E171">
        <v>0</v>
      </c>
      <c r="F171">
        <v>0</v>
      </c>
      <c r="G171">
        <v>0</v>
      </c>
      <c r="H171">
        <v>0</v>
      </c>
      <c r="I171" t="e">
        <f>E171/H171</f>
        <v>#DIV/0!</v>
      </c>
    </row>
    <row r="172" spans="1:9" x14ac:dyDescent="0.25">
      <c r="A172" t="s">
        <v>758</v>
      </c>
      <c r="B172" t="s">
        <v>759</v>
      </c>
      <c r="C172">
        <v>114229</v>
      </c>
      <c r="D172">
        <v>0</v>
      </c>
      <c r="E172">
        <v>0</v>
      </c>
      <c r="F172">
        <v>0</v>
      </c>
      <c r="G172">
        <v>0</v>
      </c>
      <c r="H172">
        <v>0</v>
      </c>
      <c r="I172" t="e">
        <f>E172/H172</f>
        <v>#DIV/0!</v>
      </c>
    </row>
    <row r="173" spans="1:9" x14ac:dyDescent="0.25">
      <c r="A173" t="s">
        <v>760</v>
      </c>
      <c r="B173" t="s">
        <v>761</v>
      </c>
      <c r="C173">
        <v>114229</v>
      </c>
      <c r="D173">
        <v>0</v>
      </c>
      <c r="E173">
        <v>0</v>
      </c>
      <c r="F173">
        <v>0</v>
      </c>
      <c r="G173">
        <v>0</v>
      </c>
      <c r="H173">
        <v>0</v>
      </c>
      <c r="I173" t="e">
        <f>E173/H173</f>
        <v>#DIV/0!</v>
      </c>
    </row>
    <row r="174" spans="1:9" x14ac:dyDescent="0.25">
      <c r="A174" t="s">
        <v>762</v>
      </c>
      <c r="B174" t="s">
        <v>759</v>
      </c>
      <c r="C174">
        <v>113020</v>
      </c>
      <c r="D174">
        <v>0</v>
      </c>
      <c r="E174">
        <v>0</v>
      </c>
      <c r="F174">
        <v>0</v>
      </c>
      <c r="G174">
        <v>0</v>
      </c>
      <c r="H174">
        <v>0</v>
      </c>
      <c r="I174" t="e">
        <f>E174/H174</f>
        <v>#DIV/0!</v>
      </c>
    </row>
    <row r="175" spans="1:9" x14ac:dyDescent="0.25">
      <c r="A175" t="s">
        <v>763</v>
      </c>
      <c r="B175" t="s">
        <v>764</v>
      </c>
      <c r="C175">
        <v>263556</v>
      </c>
      <c r="D175">
        <v>0</v>
      </c>
      <c r="E175">
        <v>0</v>
      </c>
      <c r="F175">
        <v>0</v>
      </c>
      <c r="G175">
        <v>0</v>
      </c>
      <c r="H175">
        <v>0</v>
      </c>
      <c r="I175" t="e">
        <f>E175/H175</f>
        <v>#DIV/0!</v>
      </c>
    </row>
    <row r="176" spans="1:9" x14ac:dyDescent="0.25">
      <c r="A176" t="s">
        <v>765</v>
      </c>
      <c r="B176" t="s">
        <v>766</v>
      </c>
      <c r="C176">
        <v>345855</v>
      </c>
      <c r="D176">
        <v>0</v>
      </c>
      <c r="E176">
        <v>0</v>
      </c>
      <c r="F176">
        <v>0</v>
      </c>
      <c r="G176">
        <v>0</v>
      </c>
      <c r="H176">
        <v>0</v>
      </c>
      <c r="I176" t="e">
        <f>E176/H176</f>
        <v>#DIV/0!</v>
      </c>
    </row>
    <row r="177" spans="1:9" x14ac:dyDescent="0.25">
      <c r="A177" t="s">
        <v>767</v>
      </c>
      <c r="B177" t="s">
        <v>768</v>
      </c>
      <c r="C177">
        <v>414873</v>
      </c>
      <c r="D177">
        <v>0</v>
      </c>
      <c r="E177">
        <v>0</v>
      </c>
      <c r="F177">
        <v>0</v>
      </c>
      <c r="G177">
        <v>0</v>
      </c>
      <c r="H177">
        <v>0</v>
      </c>
      <c r="I177" t="e">
        <f>E177/H177</f>
        <v>#DIV/0!</v>
      </c>
    </row>
    <row r="178" spans="1:9" x14ac:dyDescent="0.25">
      <c r="A178" t="s">
        <v>769</v>
      </c>
      <c r="B178" t="s">
        <v>770</v>
      </c>
      <c r="C178">
        <v>20124</v>
      </c>
      <c r="D178">
        <v>0</v>
      </c>
      <c r="E178">
        <v>0</v>
      </c>
      <c r="F178">
        <v>0</v>
      </c>
      <c r="G178">
        <v>0</v>
      </c>
      <c r="H178">
        <v>0</v>
      </c>
      <c r="I178" t="e">
        <f>E178/H178</f>
        <v>#DIV/0!</v>
      </c>
    </row>
    <row r="179" spans="1:9" x14ac:dyDescent="0.25">
      <c r="A179" t="s">
        <v>771</v>
      </c>
      <c r="B179" t="s">
        <v>772</v>
      </c>
      <c r="C179">
        <v>23870</v>
      </c>
      <c r="D179">
        <v>0</v>
      </c>
      <c r="E179">
        <v>0</v>
      </c>
      <c r="F179">
        <v>0</v>
      </c>
      <c r="G179">
        <v>0</v>
      </c>
      <c r="H179">
        <v>0</v>
      </c>
      <c r="I179" t="e">
        <f>E179/H179</f>
        <v>#DIV/0!</v>
      </c>
    </row>
    <row r="180" spans="1:9" x14ac:dyDescent="0.25">
      <c r="A180" t="s">
        <v>773</v>
      </c>
      <c r="B180" t="s">
        <v>774</v>
      </c>
      <c r="C180">
        <v>329503</v>
      </c>
      <c r="D180">
        <v>141832</v>
      </c>
      <c r="E180">
        <v>0</v>
      </c>
      <c r="F180">
        <v>0</v>
      </c>
      <c r="G180">
        <v>0</v>
      </c>
      <c r="H180">
        <v>0</v>
      </c>
      <c r="I180" t="e">
        <f>E180/H180</f>
        <v>#DIV/0!</v>
      </c>
    </row>
    <row r="181" spans="1:9" x14ac:dyDescent="0.25">
      <c r="A181" t="s">
        <v>776</v>
      </c>
      <c r="B181" t="s">
        <v>1072</v>
      </c>
      <c r="C181">
        <v>0</v>
      </c>
      <c r="D181">
        <v>67954</v>
      </c>
      <c r="E181">
        <v>0</v>
      </c>
      <c r="F181">
        <v>0</v>
      </c>
      <c r="G181">
        <v>0</v>
      </c>
      <c r="H181">
        <v>0</v>
      </c>
      <c r="I181" t="e">
        <f>E181/H181</f>
        <v>#DIV/0!</v>
      </c>
    </row>
    <row r="182" spans="1:9" x14ac:dyDescent="0.25">
      <c r="A182" t="s">
        <v>777</v>
      </c>
      <c r="B182" t="s">
        <v>1072</v>
      </c>
      <c r="C182">
        <v>0</v>
      </c>
      <c r="D182">
        <v>67954</v>
      </c>
      <c r="E182">
        <v>0</v>
      </c>
      <c r="F182">
        <v>0</v>
      </c>
      <c r="G182">
        <v>0</v>
      </c>
      <c r="H182">
        <v>0</v>
      </c>
      <c r="I182" t="e">
        <f>E182/H182</f>
        <v>#DIV/0!</v>
      </c>
    </row>
    <row r="183" spans="1:9" x14ac:dyDescent="0.25">
      <c r="A183" t="s">
        <v>778</v>
      </c>
      <c r="B183" t="s">
        <v>1073</v>
      </c>
      <c r="C183">
        <v>0</v>
      </c>
      <c r="D183">
        <v>332242</v>
      </c>
      <c r="E183">
        <v>0</v>
      </c>
      <c r="F183">
        <v>0</v>
      </c>
      <c r="G183">
        <v>0</v>
      </c>
      <c r="H183">
        <v>0</v>
      </c>
      <c r="I183" t="e">
        <f>E183/H183</f>
        <v>#DIV/0!</v>
      </c>
    </row>
    <row r="184" spans="1:9" x14ac:dyDescent="0.25">
      <c r="A184" t="s">
        <v>779</v>
      </c>
      <c r="B184" t="s">
        <v>1073</v>
      </c>
      <c r="C184">
        <v>0</v>
      </c>
      <c r="D184">
        <v>333256</v>
      </c>
      <c r="E184">
        <v>0</v>
      </c>
      <c r="F184">
        <v>0</v>
      </c>
      <c r="G184">
        <v>0</v>
      </c>
      <c r="H184">
        <v>0</v>
      </c>
      <c r="I184" t="e">
        <f>E184/H184</f>
        <v>#DIV/0!</v>
      </c>
    </row>
    <row r="185" spans="1:9" x14ac:dyDescent="0.25">
      <c r="A185" t="s">
        <v>784</v>
      </c>
      <c r="B185" t="s">
        <v>1077</v>
      </c>
      <c r="C185">
        <v>0</v>
      </c>
      <c r="D185">
        <v>261812</v>
      </c>
      <c r="E185">
        <v>0</v>
      </c>
      <c r="F185">
        <v>0</v>
      </c>
      <c r="G185">
        <v>0</v>
      </c>
      <c r="H185">
        <v>0</v>
      </c>
      <c r="I185" t="e">
        <f>E185/H185</f>
        <v>#DIV/0!</v>
      </c>
    </row>
    <row r="186" spans="1:9" x14ac:dyDescent="0.25">
      <c r="A186" t="s">
        <v>785</v>
      </c>
      <c r="B186" t="s">
        <v>1078</v>
      </c>
      <c r="C186">
        <v>0</v>
      </c>
      <c r="D186">
        <v>261812</v>
      </c>
      <c r="E186">
        <v>0</v>
      </c>
      <c r="F186">
        <v>0</v>
      </c>
      <c r="G186">
        <v>0</v>
      </c>
      <c r="H186">
        <v>0</v>
      </c>
      <c r="I186" t="e">
        <f>E186/H186</f>
        <v>#DIV/0!</v>
      </c>
    </row>
    <row r="187" spans="1:9" x14ac:dyDescent="0.25">
      <c r="A187" t="s">
        <v>786</v>
      </c>
      <c r="B187" t="s">
        <v>1079</v>
      </c>
      <c r="C187">
        <v>0</v>
      </c>
      <c r="D187">
        <v>261812</v>
      </c>
      <c r="E187">
        <v>0</v>
      </c>
      <c r="F187">
        <v>0</v>
      </c>
      <c r="G187">
        <v>0</v>
      </c>
      <c r="H187">
        <v>0</v>
      </c>
      <c r="I187" t="e">
        <f>E187/H187</f>
        <v>#DIV/0!</v>
      </c>
    </row>
    <row r="188" spans="1:9" x14ac:dyDescent="0.25">
      <c r="A188" t="s">
        <v>787</v>
      </c>
      <c r="B188" t="s">
        <v>1080</v>
      </c>
      <c r="C188">
        <v>0</v>
      </c>
      <c r="D188">
        <v>261812</v>
      </c>
      <c r="E188">
        <v>0</v>
      </c>
      <c r="F188">
        <v>0</v>
      </c>
      <c r="G188">
        <v>0</v>
      </c>
      <c r="H188">
        <v>0</v>
      </c>
      <c r="I188" t="e">
        <f>E188/H188</f>
        <v>#DIV/0!</v>
      </c>
    </row>
    <row r="189" spans="1:9" x14ac:dyDescent="0.25">
      <c r="A189" t="s">
        <v>788</v>
      </c>
      <c r="B189" t="s">
        <v>1081</v>
      </c>
      <c r="C189">
        <v>0</v>
      </c>
      <c r="D189">
        <v>261812</v>
      </c>
      <c r="E189">
        <v>0</v>
      </c>
      <c r="F189">
        <v>0</v>
      </c>
      <c r="G189">
        <v>0</v>
      </c>
      <c r="H189">
        <v>0</v>
      </c>
      <c r="I189" t="e">
        <f>E189/H189</f>
        <v>#DIV/0!</v>
      </c>
    </row>
    <row r="190" spans="1:9" x14ac:dyDescent="0.25">
      <c r="A190" t="s">
        <v>789</v>
      </c>
      <c r="B190" t="s">
        <v>1082</v>
      </c>
      <c r="C190">
        <v>0</v>
      </c>
      <c r="D190">
        <v>261812</v>
      </c>
      <c r="E190">
        <v>0</v>
      </c>
      <c r="F190">
        <v>0</v>
      </c>
      <c r="G190">
        <v>0</v>
      </c>
      <c r="H190">
        <v>0</v>
      </c>
      <c r="I190" t="e">
        <f>E190/H190</f>
        <v>#DIV/0!</v>
      </c>
    </row>
    <row r="191" spans="1:9" x14ac:dyDescent="0.25">
      <c r="A191" t="s">
        <v>790</v>
      </c>
      <c r="B191" t="s">
        <v>1083</v>
      </c>
      <c r="C191">
        <v>0</v>
      </c>
      <c r="D191">
        <v>261812</v>
      </c>
      <c r="E191">
        <v>0</v>
      </c>
      <c r="F191">
        <v>0</v>
      </c>
      <c r="G191">
        <v>0</v>
      </c>
      <c r="H191">
        <v>0</v>
      </c>
      <c r="I191" t="e">
        <f>E191/H191</f>
        <v>#DIV/0!</v>
      </c>
    </row>
    <row r="192" spans="1:9" x14ac:dyDescent="0.25">
      <c r="A192" t="s">
        <v>791</v>
      </c>
      <c r="B192" t="s">
        <v>1084</v>
      </c>
      <c r="C192">
        <v>0</v>
      </c>
      <c r="D192">
        <v>261812</v>
      </c>
      <c r="E192">
        <v>0</v>
      </c>
      <c r="F192">
        <v>0</v>
      </c>
      <c r="G192">
        <v>0</v>
      </c>
      <c r="H192">
        <v>0</v>
      </c>
      <c r="I192" t="e">
        <f>E192/H192</f>
        <v>#DIV/0!</v>
      </c>
    </row>
    <row r="193" spans="1:9" x14ac:dyDescent="0.25">
      <c r="A193" t="s">
        <v>792</v>
      </c>
      <c r="B193" t="s">
        <v>1085</v>
      </c>
      <c r="C193">
        <v>0</v>
      </c>
      <c r="D193">
        <v>330015</v>
      </c>
      <c r="E193">
        <v>0</v>
      </c>
      <c r="F193">
        <v>0</v>
      </c>
      <c r="G193">
        <v>0</v>
      </c>
      <c r="H193">
        <v>0</v>
      </c>
      <c r="I193" t="e">
        <f>E193/H193</f>
        <v>#DIV/0!</v>
      </c>
    </row>
    <row r="194" spans="1:9" x14ac:dyDescent="0.25">
      <c r="A194" t="s">
        <v>793</v>
      </c>
      <c r="B194" t="s">
        <v>1086</v>
      </c>
      <c r="C194">
        <v>0</v>
      </c>
      <c r="D194">
        <v>141683</v>
      </c>
      <c r="E194">
        <v>0</v>
      </c>
      <c r="F194">
        <v>0</v>
      </c>
      <c r="G194">
        <v>0</v>
      </c>
      <c r="H194">
        <v>0</v>
      </c>
      <c r="I194" t="e">
        <f>E194/H194</f>
        <v>#DIV/0!</v>
      </c>
    </row>
    <row r="195" spans="1:9" x14ac:dyDescent="0.25">
      <c r="A195" t="s">
        <v>794</v>
      </c>
      <c r="B195" t="s">
        <v>1086</v>
      </c>
      <c r="C195">
        <v>0</v>
      </c>
      <c r="D195">
        <v>196832</v>
      </c>
      <c r="E195">
        <v>0</v>
      </c>
      <c r="F195">
        <v>0</v>
      </c>
      <c r="G195">
        <v>0</v>
      </c>
      <c r="H195">
        <v>0</v>
      </c>
      <c r="I195" t="e">
        <f>E195/H195</f>
        <v>#DIV/0!</v>
      </c>
    </row>
    <row r="196" spans="1:9" x14ac:dyDescent="0.25">
      <c r="A196" t="s">
        <v>797</v>
      </c>
      <c r="B196" t="s">
        <v>1088</v>
      </c>
      <c r="C196">
        <v>0</v>
      </c>
      <c r="D196">
        <v>269198</v>
      </c>
      <c r="E196">
        <v>0</v>
      </c>
      <c r="F196">
        <v>0</v>
      </c>
      <c r="G196">
        <v>0</v>
      </c>
      <c r="H196">
        <v>0</v>
      </c>
      <c r="I196" t="e">
        <f>E196/H196</f>
        <v>#DIV/0!</v>
      </c>
    </row>
    <row r="197" spans="1:9" x14ac:dyDescent="0.25">
      <c r="A197" t="s">
        <v>798</v>
      </c>
      <c r="B197" t="s">
        <v>1088</v>
      </c>
      <c r="C197">
        <v>0</v>
      </c>
      <c r="D197">
        <v>269198</v>
      </c>
      <c r="E197">
        <v>0</v>
      </c>
      <c r="F197">
        <v>0</v>
      </c>
      <c r="G197">
        <v>0</v>
      </c>
      <c r="H197">
        <v>0</v>
      </c>
      <c r="I197" t="e">
        <f>E197/H197</f>
        <v>#DIV/0!</v>
      </c>
    </row>
    <row r="198" spans="1:9" x14ac:dyDescent="0.25">
      <c r="A198" t="s">
        <v>800</v>
      </c>
      <c r="B198" t="s">
        <v>1090</v>
      </c>
      <c r="C198">
        <v>0</v>
      </c>
      <c r="D198">
        <v>85707</v>
      </c>
      <c r="E198">
        <v>0</v>
      </c>
      <c r="F198">
        <v>0</v>
      </c>
      <c r="G198">
        <v>0</v>
      </c>
      <c r="H198">
        <v>0</v>
      </c>
      <c r="I198" t="e">
        <f>E198/H198</f>
        <v>#DIV/0!</v>
      </c>
    </row>
    <row r="199" spans="1:9" x14ac:dyDescent="0.25">
      <c r="A199" t="s">
        <v>801</v>
      </c>
      <c r="B199" t="s">
        <v>1090</v>
      </c>
      <c r="C199">
        <v>0</v>
      </c>
      <c r="D199">
        <v>85707</v>
      </c>
      <c r="E199">
        <v>0</v>
      </c>
      <c r="F199">
        <v>0</v>
      </c>
      <c r="G199">
        <v>0</v>
      </c>
      <c r="H199">
        <v>0</v>
      </c>
      <c r="I199" t="e">
        <f>E199/H199</f>
        <v>#DIV/0!</v>
      </c>
    </row>
    <row r="200" spans="1:9" x14ac:dyDescent="0.25">
      <c r="A200" t="s">
        <v>802</v>
      </c>
      <c r="B200" t="s">
        <v>1091</v>
      </c>
      <c r="C200">
        <v>0</v>
      </c>
      <c r="D200">
        <v>239857</v>
      </c>
      <c r="E200">
        <v>0</v>
      </c>
      <c r="F200">
        <v>0</v>
      </c>
      <c r="G200">
        <v>0</v>
      </c>
      <c r="H200">
        <v>0</v>
      </c>
      <c r="I200" t="e">
        <f>E200/H200</f>
        <v>#DIV/0!</v>
      </c>
    </row>
    <row r="201" spans="1:9" x14ac:dyDescent="0.25">
      <c r="A201" t="s">
        <v>803</v>
      </c>
      <c r="B201" t="s">
        <v>1091</v>
      </c>
      <c r="C201">
        <v>0</v>
      </c>
      <c r="D201">
        <v>239857</v>
      </c>
      <c r="E201">
        <v>0</v>
      </c>
      <c r="F201">
        <v>0</v>
      </c>
      <c r="G201">
        <v>0</v>
      </c>
      <c r="H201">
        <v>0</v>
      </c>
      <c r="I201" t="e">
        <f>E201/H201</f>
        <v>#DIV/0!</v>
      </c>
    </row>
    <row r="202" spans="1:9" x14ac:dyDescent="0.25">
      <c r="A202" t="s">
        <v>804</v>
      </c>
      <c r="B202" t="s">
        <v>1092</v>
      </c>
      <c r="C202">
        <v>0</v>
      </c>
      <c r="D202">
        <v>69699</v>
      </c>
      <c r="E202">
        <v>0</v>
      </c>
      <c r="F202">
        <v>0</v>
      </c>
      <c r="G202">
        <v>0</v>
      </c>
      <c r="H202">
        <v>0</v>
      </c>
      <c r="I202" t="e">
        <f>E202/H202</f>
        <v>#DIV/0!</v>
      </c>
    </row>
    <row r="203" spans="1:9" x14ac:dyDescent="0.25">
      <c r="A203" t="s">
        <v>805</v>
      </c>
      <c r="B203" t="s">
        <v>1093</v>
      </c>
      <c r="C203">
        <v>0</v>
      </c>
      <c r="D203">
        <v>245492</v>
      </c>
      <c r="E203">
        <v>0</v>
      </c>
      <c r="F203">
        <v>0</v>
      </c>
      <c r="G203">
        <v>0</v>
      </c>
      <c r="H203">
        <v>0</v>
      </c>
      <c r="I203" t="e">
        <f>E203/H203</f>
        <v>#DIV/0!</v>
      </c>
    </row>
    <row r="204" spans="1:9" x14ac:dyDescent="0.25">
      <c r="A204" t="s">
        <v>806</v>
      </c>
      <c r="B204" t="s">
        <v>1093</v>
      </c>
      <c r="C204">
        <v>0</v>
      </c>
      <c r="D204">
        <v>238227</v>
      </c>
      <c r="E204">
        <v>0</v>
      </c>
      <c r="F204">
        <v>0</v>
      </c>
      <c r="G204">
        <v>0</v>
      </c>
      <c r="H204">
        <v>0</v>
      </c>
      <c r="I204" t="e">
        <f>E204/H204</f>
        <v>#DIV/0!</v>
      </c>
    </row>
    <row r="205" spans="1:9" x14ac:dyDescent="0.25">
      <c r="A205" t="s">
        <v>807</v>
      </c>
      <c r="B205" t="s">
        <v>1093</v>
      </c>
      <c r="C205">
        <v>0</v>
      </c>
      <c r="D205">
        <v>238227</v>
      </c>
      <c r="E205">
        <v>0</v>
      </c>
      <c r="F205">
        <v>0</v>
      </c>
      <c r="G205">
        <v>0</v>
      </c>
      <c r="H205">
        <v>0</v>
      </c>
      <c r="I205" t="e">
        <f>E205/H205</f>
        <v>#DIV/0!</v>
      </c>
    </row>
    <row r="206" spans="1:9" x14ac:dyDescent="0.25">
      <c r="A206" t="s">
        <v>808</v>
      </c>
      <c r="B206" t="s">
        <v>1086</v>
      </c>
      <c r="C206">
        <v>0</v>
      </c>
      <c r="D206">
        <v>86549</v>
      </c>
      <c r="E206">
        <v>0</v>
      </c>
      <c r="F206">
        <v>0</v>
      </c>
      <c r="G206">
        <v>0</v>
      </c>
      <c r="H206">
        <v>0</v>
      </c>
      <c r="I206" t="e">
        <f>E206/H206</f>
        <v>#DIV/0!</v>
      </c>
    </row>
    <row r="207" spans="1:9" x14ac:dyDescent="0.25">
      <c r="A207" t="s">
        <v>809</v>
      </c>
      <c r="B207" t="s">
        <v>1094</v>
      </c>
      <c r="C207">
        <v>0</v>
      </c>
      <c r="D207">
        <v>172435</v>
      </c>
      <c r="E207">
        <v>0</v>
      </c>
      <c r="F207">
        <v>0</v>
      </c>
      <c r="G207">
        <v>0</v>
      </c>
      <c r="H207">
        <v>0</v>
      </c>
      <c r="I207" t="e">
        <f>E207/H207</f>
        <v>#DIV/0!</v>
      </c>
    </row>
    <row r="208" spans="1:9" x14ac:dyDescent="0.25">
      <c r="A208" t="s">
        <v>810</v>
      </c>
      <c r="B208" t="s">
        <v>1095</v>
      </c>
      <c r="C208">
        <v>0</v>
      </c>
      <c r="D208">
        <v>172435</v>
      </c>
      <c r="E208">
        <v>0</v>
      </c>
      <c r="F208">
        <v>0</v>
      </c>
      <c r="G208">
        <v>0</v>
      </c>
      <c r="H208">
        <v>0</v>
      </c>
      <c r="I208" t="e">
        <f>E208/H208</f>
        <v>#DIV/0!</v>
      </c>
    </row>
    <row r="209" spans="1:9" x14ac:dyDescent="0.25">
      <c r="A209" t="s">
        <v>811</v>
      </c>
      <c r="B209" t="s">
        <v>1096</v>
      </c>
      <c r="C209">
        <v>0</v>
      </c>
      <c r="D209">
        <v>172435</v>
      </c>
      <c r="E209">
        <v>0</v>
      </c>
      <c r="F209">
        <v>0</v>
      </c>
      <c r="G209">
        <v>0</v>
      </c>
      <c r="H209">
        <v>0</v>
      </c>
      <c r="I209" t="e">
        <f>E209/H209</f>
        <v>#DIV/0!</v>
      </c>
    </row>
    <row r="210" spans="1:9" x14ac:dyDescent="0.25">
      <c r="A210" t="s">
        <v>815</v>
      </c>
      <c r="B210" t="s">
        <v>1099</v>
      </c>
      <c r="C210">
        <v>0</v>
      </c>
      <c r="D210">
        <v>149606</v>
      </c>
      <c r="E210">
        <v>0</v>
      </c>
      <c r="F210">
        <v>0</v>
      </c>
      <c r="G210">
        <v>0</v>
      </c>
      <c r="H210">
        <v>0</v>
      </c>
      <c r="I210" t="e">
        <f>E210/H210</f>
        <v>#DIV/0!</v>
      </c>
    </row>
    <row r="211" spans="1:9" x14ac:dyDescent="0.25">
      <c r="A211" t="s">
        <v>816</v>
      </c>
      <c r="B211" t="s">
        <v>1099</v>
      </c>
      <c r="C211">
        <v>0</v>
      </c>
      <c r="D211">
        <v>147508</v>
      </c>
      <c r="E211">
        <v>0</v>
      </c>
      <c r="F211">
        <v>0</v>
      </c>
      <c r="G211">
        <v>0</v>
      </c>
      <c r="H211">
        <v>0</v>
      </c>
      <c r="I211" t="e">
        <f>E211/H211</f>
        <v>#DIV/0!</v>
      </c>
    </row>
    <row r="212" spans="1:9" x14ac:dyDescent="0.25">
      <c r="A212" t="s">
        <v>817</v>
      </c>
      <c r="B212" t="s">
        <v>1100</v>
      </c>
      <c r="C212">
        <v>0</v>
      </c>
      <c r="D212">
        <v>167204</v>
      </c>
      <c r="E212">
        <v>0</v>
      </c>
      <c r="F212">
        <v>0</v>
      </c>
      <c r="G212">
        <v>0</v>
      </c>
      <c r="H212">
        <v>0</v>
      </c>
      <c r="I212" t="e">
        <f>E212/H212</f>
        <v>#DIV/0!</v>
      </c>
    </row>
    <row r="213" spans="1:9" x14ac:dyDescent="0.25">
      <c r="A213" t="s">
        <v>818</v>
      </c>
      <c r="B213" t="s">
        <v>1100</v>
      </c>
      <c r="C213">
        <v>0</v>
      </c>
      <c r="D213">
        <v>167204</v>
      </c>
      <c r="E213">
        <v>0</v>
      </c>
      <c r="F213">
        <v>0</v>
      </c>
      <c r="G213">
        <v>0</v>
      </c>
      <c r="H213">
        <v>0</v>
      </c>
      <c r="I213" t="e">
        <f>E213/H213</f>
        <v>#DIV/0!</v>
      </c>
    </row>
    <row r="214" spans="1:9" x14ac:dyDescent="0.25">
      <c r="A214" t="s">
        <v>819</v>
      </c>
      <c r="B214" t="s">
        <v>1101</v>
      </c>
      <c r="C214">
        <v>0</v>
      </c>
      <c r="D214">
        <v>36069</v>
      </c>
      <c r="E214">
        <v>1441027</v>
      </c>
      <c r="F214">
        <v>1581400</v>
      </c>
      <c r="G214">
        <v>0</v>
      </c>
      <c r="H214">
        <v>0</v>
      </c>
      <c r="I214" t="e">
        <f>E214/H214</f>
        <v>#DIV/0!</v>
      </c>
    </row>
    <row r="215" spans="1:9" x14ac:dyDescent="0.25">
      <c r="A215" t="s">
        <v>820</v>
      </c>
      <c r="B215" t="s">
        <v>1102</v>
      </c>
      <c r="C215">
        <v>0</v>
      </c>
      <c r="D215">
        <v>276037</v>
      </c>
      <c r="E215">
        <v>0</v>
      </c>
      <c r="F215">
        <v>0</v>
      </c>
      <c r="G215">
        <v>0</v>
      </c>
      <c r="H215">
        <v>0</v>
      </c>
      <c r="I215" t="e">
        <f>E215/H215</f>
        <v>#DIV/0!</v>
      </c>
    </row>
    <row r="216" spans="1:9" x14ac:dyDescent="0.25">
      <c r="A216" t="s">
        <v>821</v>
      </c>
      <c r="B216" t="s">
        <v>1102</v>
      </c>
      <c r="C216">
        <v>0</v>
      </c>
      <c r="D216">
        <v>276037</v>
      </c>
      <c r="E216">
        <v>0</v>
      </c>
      <c r="F216">
        <v>0</v>
      </c>
      <c r="G216">
        <v>0</v>
      </c>
      <c r="H216">
        <v>0</v>
      </c>
      <c r="I216" t="e">
        <f>E216/H216</f>
        <v>#DIV/0!</v>
      </c>
    </row>
    <row r="217" spans="1:9" x14ac:dyDescent="0.25">
      <c r="A217" t="s">
        <v>822</v>
      </c>
      <c r="B217" t="s">
        <v>1103</v>
      </c>
      <c r="C217">
        <v>0</v>
      </c>
      <c r="D217">
        <v>42216</v>
      </c>
      <c r="E217">
        <v>0</v>
      </c>
      <c r="F217">
        <v>0</v>
      </c>
      <c r="G217">
        <v>0</v>
      </c>
      <c r="H217">
        <v>0</v>
      </c>
      <c r="I217" t="e">
        <f>E217/H217</f>
        <v>#DIV/0!</v>
      </c>
    </row>
    <row r="218" spans="1:9" x14ac:dyDescent="0.25">
      <c r="A218" t="s">
        <v>823</v>
      </c>
      <c r="B218" t="s">
        <v>1103</v>
      </c>
      <c r="C218">
        <v>0</v>
      </c>
      <c r="D218">
        <v>28911</v>
      </c>
      <c r="E218">
        <v>0</v>
      </c>
      <c r="F218">
        <v>0</v>
      </c>
      <c r="G218">
        <v>0</v>
      </c>
      <c r="H218">
        <v>0</v>
      </c>
      <c r="I218" t="e">
        <f>E218/H218</f>
        <v>#DIV/0!</v>
      </c>
    </row>
    <row r="219" spans="1:9" x14ac:dyDescent="0.25">
      <c r="A219" t="s">
        <v>824</v>
      </c>
      <c r="B219" t="s">
        <v>1099</v>
      </c>
      <c r="C219">
        <v>0</v>
      </c>
      <c r="D219">
        <v>164961</v>
      </c>
      <c r="E219">
        <v>0</v>
      </c>
      <c r="F219">
        <v>0</v>
      </c>
      <c r="G219">
        <v>0</v>
      </c>
      <c r="H219">
        <v>0</v>
      </c>
      <c r="I219" t="e">
        <f>E219/H219</f>
        <v>#DIV/0!</v>
      </c>
    </row>
    <row r="220" spans="1:9" x14ac:dyDescent="0.25">
      <c r="A220" t="s">
        <v>825</v>
      </c>
      <c r="B220" t="s">
        <v>1104</v>
      </c>
      <c r="C220">
        <v>0</v>
      </c>
      <c r="D220">
        <v>99802</v>
      </c>
      <c r="E220">
        <v>0</v>
      </c>
      <c r="F220">
        <v>0</v>
      </c>
      <c r="G220">
        <v>0</v>
      </c>
      <c r="H220">
        <v>0</v>
      </c>
      <c r="I220" t="e">
        <f>E220/H220</f>
        <v>#DIV/0!</v>
      </c>
    </row>
    <row r="221" spans="1:9" x14ac:dyDescent="0.25">
      <c r="A221" t="s">
        <v>826</v>
      </c>
      <c r="B221" t="s">
        <v>1105</v>
      </c>
      <c r="C221">
        <v>0</v>
      </c>
      <c r="D221">
        <v>193802</v>
      </c>
      <c r="E221">
        <v>0</v>
      </c>
      <c r="F221">
        <v>0</v>
      </c>
      <c r="G221">
        <v>0</v>
      </c>
      <c r="H221">
        <v>0</v>
      </c>
      <c r="I221" t="e">
        <f>E221/H221</f>
        <v>#DIV/0!</v>
      </c>
    </row>
    <row r="222" spans="1:9" x14ac:dyDescent="0.25">
      <c r="A222" t="s">
        <v>827</v>
      </c>
      <c r="B222" t="s">
        <v>1101</v>
      </c>
      <c r="C222">
        <v>0</v>
      </c>
      <c r="D222">
        <v>29764</v>
      </c>
      <c r="E222">
        <v>1422704</v>
      </c>
      <c r="F222">
        <v>1573874</v>
      </c>
      <c r="G222">
        <v>0</v>
      </c>
      <c r="H222">
        <v>0</v>
      </c>
      <c r="I222" t="e">
        <f>E222/H222</f>
        <v>#DIV/0!</v>
      </c>
    </row>
    <row r="223" spans="1:9" x14ac:dyDescent="0.25">
      <c r="A223" t="s">
        <v>828</v>
      </c>
      <c r="B223" t="s">
        <v>1101</v>
      </c>
      <c r="C223">
        <v>0</v>
      </c>
      <c r="D223">
        <v>29764</v>
      </c>
      <c r="E223">
        <v>1422704</v>
      </c>
      <c r="F223">
        <v>1573874</v>
      </c>
      <c r="G223">
        <v>0</v>
      </c>
      <c r="H223">
        <v>0</v>
      </c>
      <c r="I223" t="e">
        <f>E223/H223</f>
        <v>#DIV/0!</v>
      </c>
    </row>
    <row r="224" spans="1:9" x14ac:dyDescent="0.25">
      <c r="A224" t="s">
        <v>829</v>
      </c>
      <c r="B224" t="s">
        <v>1106</v>
      </c>
      <c r="C224">
        <v>0</v>
      </c>
      <c r="D224">
        <v>280411</v>
      </c>
      <c r="E224">
        <v>0</v>
      </c>
      <c r="F224">
        <v>0</v>
      </c>
      <c r="G224">
        <v>0</v>
      </c>
      <c r="H224">
        <v>0</v>
      </c>
      <c r="I224" t="e">
        <f>E224/H224</f>
        <v>#DIV/0!</v>
      </c>
    </row>
    <row r="225" spans="1:9" x14ac:dyDescent="0.25">
      <c r="A225" t="s">
        <v>830</v>
      </c>
      <c r="B225" t="s">
        <v>1107</v>
      </c>
      <c r="C225">
        <v>0</v>
      </c>
      <c r="D225">
        <v>26241</v>
      </c>
      <c r="E225">
        <v>0</v>
      </c>
      <c r="F225">
        <v>0</v>
      </c>
      <c r="G225">
        <v>0</v>
      </c>
      <c r="H225">
        <v>0</v>
      </c>
      <c r="I225" t="e">
        <f>E225/H225</f>
        <v>#DIV/0!</v>
      </c>
    </row>
    <row r="226" spans="1:9" x14ac:dyDescent="0.25">
      <c r="A226" t="s">
        <v>831</v>
      </c>
      <c r="B226" t="s">
        <v>1107</v>
      </c>
      <c r="C226">
        <v>0</v>
      </c>
      <c r="D226">
        <v>26241</v>
      </c>
      <c r="E226">
        <v>0</v>
      </c>
      <c r="F226">
        <v>0</v>
      </c>
      <c r="G226">
        <v>0</v>
      </c>
      <c r="H226">
        <v>0</v>
      </c>
      <c r="I226" t="e">
        <f>E226/H226</f>
        <v>#DIV/0!</v>
      </c>
    </row>
    <row r="227" spans="1:9" x14ac:dyDescent="0.25">
      <c r="A227" t="s">
        <v>832</v>
      </c>
      <c r="B227" t="s">
        <v>1107</v>
      </c>
      <c r="C227">
        <v>0</v>
      </c>
      <c r="D227">
        <v>26241</v>
      </c>
      <c r="E227">
        <v>0</v>
      </c>
      <c r="F227">
        <v>0</v>
      </c>
      <c r="G227">
        <v>0</v>
      </c>
      <c r="H227">
        <v>0</v>
      </c>
      <c r="I227" t="e">
        <f>E227/H227</f>
        <v>#DIV/0!</v>
      </c>
    </row>
    <row r="228" spans="1:9" x14ac:dyDescent="0.25">
      <c r="A228" t="s">
        <v>835</v>
      </c>
      <c r="B228" t="s">
        <v>1109</v>
      </c>
      <c r="C228">
        <v>0</v>
      </c>
      <c r="D228">
        <v>26973</v>
      </c>
      <c r="E228">
        <v>0</v>
      </c>
      <c r="F228">
        <v>0</v>
      </c>
      <c r="G228">
        <v>0</v>
      </c>
      <c r="H228">
        <v>0</v>
      </c>
      <c r="I228" t="e">
        <f>E228/H228</f>
        <v>#DIV/0!</v>
      </c>
    </row>
    <row r="229" spans="1:9" x14ac:dyDescent="0.25">
      <c r="A229" t="s">
        <v>837</v>
      </c>
      <c r="B229" t="s">
        <v>1100</v>
      </c>
      <c r="C229">
        <v>0</v>
      </c>
      <c r="D229">
        <v>91826</v>
      </c>
      <c r="E229">
        <v>0</v>
      </c>
      <c r="F229">
        <v>0</v>
      </c>
      <c r="G229">
        <v>0</v>
      </c>
      <c r="H229">
        <v>0</v>
      </c>
      <c r="I229" t="e">
        <f>E229/H229</f>
        <v>#DIV/0!</v>
      </c>
    </row>
    <row r="230" spans="1:9" x14ac:dyDescent="0.25">
      <c r="A230" t="s">
        <v>838</v>
      </c>
      <c r="B230" t="s">
        <v>1094</v>
      </c>
      <c r="C230">
        <v>0</v>
      </c>
      <c r="D230">
        <v>76558</v>
      </c>
      <c r="E230">
        <v>0</v>
      </c>
      <c r="F230">
        <v>0</v>
      </c>
      <c r="G230">
        <v>0</v>
      </c>
      <c r="H230">
        <v>0</v>
      </c>
      <c r="I230" t="e">
        <f>E230/H230</f>
        <v>#DIV/0!</v>
      </c>
    </row>
    <row r="231" spans="1:9" x14ac:dyDescent="0.25">
      <c r="A231" t="s">
        <v>839</v>
      </c>
      <c r="B231" t="s">
        <v>1096</v>
      </c>
      <c r="C231">
        <v>0</v>
      </c>
      <c r="D231">
        <v>76558</v>
      </c>
      <c r="E231">
        <v>0</v>
      </c>
      <c r="F231">
        <v>0</v>
      </c>
      <c r="G231">
        <v>0</v>
      </c>
      <c r="H231">
        <v>0</v>
      </c>
      <c r="I231" t="e">
        <f>E231/H231</f>
        <v>#DIV/0!</v>
      </c>
    </row>
    <row r="232" spans="1:9" x14ac:dyDescent="0.25">
      <c r="A232" t="s">
        <v>841</v>
      </c>
      <c r="B232" t="s">
        <v>1111</v>
      </c>
      <c r="C232">
        <v>0</v>
      </c>
      <c r="D232">
        <v>228151</v>
      </c>
      <c r="E232">
        <v>457920</v>
      </c>
      <c r="F232">
        <v>230022</v>
      </c>
      <c r="G232">
        <v>0</v>
      </c>
      <c r="H232">
        <v>0</v>
      </c>
      <c r="I232" t="e">
        <f>E232/H232</f>
        <v>#DIV/0!</v>
      </c>
    </row>
    <row r="233" spans="1:9" x14ac:dyDescent="0.25">
      <c r="A233" t="s">
        <v>842</v>
      </c>
      <c r="B233" t="s">
        <v>1111</v>
      </c>
      <c r="C233">
        <v>0</v>
      </c>
      <c r="D233">
        <v>228151</v>
      </c>
      <c r="E233">
        <v>457920</v>
      </c>
      <c r="F233">
        <v>230022</v>
      </c>
      <c r="G233">
        <v>0</v>
      </c>
      <c r="H233">
        <v>0</v>
      </c>
      <c r="I233" t="e">
        <f>E233/H233</f>
        <v>#DIV/0!</v>
      </c>
    </row>
    <row r="234" spans="1:9" x14ac:dyDescent="0.25">
      <c r="A234" t="s">
        <v>843</v>
      </c>
      <c r="B234" t="s">
        <v>1111</v>
      </c>
      <c r="C234">
        <v>0</v>
      </c>
      <c r="D234">
        <v>228151</v>
      </c>
      <c r="E234">
        <v>457920</v>
      </c>
      <c r="F234">
        <v>231645</v>
      </c>
      <c r="G234">
        <v>0</v>
      </c>
      <c r="H234">
        <v>0</v>
      </c>
      <c r="I234" t="e">
        <f>E234/H234</f>
        <v>#DIV/0!</v>
      </c>
    </row>
    <row r="235" spans="1:9" x14ac:dyDescent="0.25">
      <c r="A235" t="s">
        <v>844</v>
      </c>
      <c r="B235" t="s">
        <v>1112</v>
      </c>
      <c r="C235">
        <v>0</v>
      </c>
      <c r="D235">
        <v>75127</v>
      </c>
      <c r="E235">
        <v>0</v>
      </c>
      <c r="F235">
        <v>0</v>
      </c>
      <c r="G235">
        <v>0</v>
      </c>
      <c r="H235">
        <v>0</v>
      </c>
      <c r="I235" t="e">
        <f>E235/H235</f>
        <v>#DIV/0!</v>
      </c>
    </row>
    <row r="236" spans="1:9" x14ac:dyDescent="0.25">
      <c r="A236" t="s">
        <v>845</v>
      </c>
      <c r="B236" t="s">
        <v>1113</v>
      </c>
      <c r="C236">
        <v>0</v>
      </c>
      <c r="D236">
        <v>646582</v>
      </c>
      <c r="E236">
        <v>0</v>
      </c>
      <c r="F236">
        <v>0</v>
      </c>
      <c r="G236">
        <v>0</v>
      </c>
      <c r="H236">
        <v>0</v>
      </c>
      <c r="I236" t="e">
        <f>E236/H236</f>
        <v>#DIV/0!</v>
      </c>
    </row>
    <row r="237" spans="1:9" x14ac:dyDescent="0.25">
      <c r="A237" t="s">
        <v>846</v>
      </c>
      <c r="B237" t="s">
        <v>1113</v>
      </c>
      <c r="C237">
        <v>0</v>
      </c>
      <c r="D237">
        <v>652879</v>
      </c>
      <c r="E237">
        <v>0</v>
      </c>
      <c r="F237">
        <v>0</v>
      </c>
      <c r="G237">
        <v>0</v>
      </c>
      <c r="H237">
        <v>0</v>
      </c>
      <c r="I237" t="e">
        <f>E237/H237</f>
        <v>#DIV/0!</v>
      </c>
    </row>
    <row r="238" spans="1:9" x14ac:dyDescent="0.25">
      <c r="A238" t="s">
        <v>847</v>
      </c>
      <c r="B238" t="s">
        <v>1114</v>
      </c>
      <c r="C238">
        <v>0</v>
      </c>
      <c r="D238">
        <v>122972</v>
      </c>
      <c r="E238">
        <v>0</v>
      </c>
      <c r="F238">
        <v>0</v>
      </c>
      <c r="G238">
        <v>0</v>
      </c>
      <c r="H238">
        <v>0</v>
      </c>
      <c r="I238" t="e">
        <f>E238/H238</f>
        <v>#DIV/0!</v>
      </c>
    </row>
    <row r="239" spans="1:9" x14ac:dyDescent="0.25">
      <c r="A239" t="s">
        <v>848</v>
      </c>
      <c r="B239" t="s">
        <v>1114</v>
      </c>
      <c r="C239">
        <v>0</v>
      </c>
      <c r="D239">
        <v>122972</v>
      </c>
      <c r="E239">
        <v>0</v>
      </c>
      <c r="F239">
        <v>0</v>
      </c>
      <c r="G239">
        <v>0</v>
      </c>
      <c r="H239">
        <v>0</v>
      </c>
      <c r="I239" t="e">
        <f>E239/H239</f>
        <v>#DIV/0!</v>
      </c>
    </row>
    <row r="240" spans="1:9" x14ac:dyDescent="0.25">
      <c r="A240" t="s">
        <v>849</v>
      </c>
      <c r="B240" t="s">
        <v>1115</v>
      </c>
      <c r="C240">
        <v>0</v>
      </c>
      <c r="D240">
        <v>24002</v>
      </c>
      <c r="E240">
        <v>0</v>
      </c>
      <c r="F240">
        <v>0</v>
      </c>
      <c r="G240">
        <v>0</v>
      </c>
      <c r="H240">
        <v>0</v>
      </c>
      <c r="I240" t="e">
        <f>E240/H240</f>
        <v>#DIV/0!</v>
      </c>
    </row>
    <row r="241" spans="1:9" x14ac:dyDescent="0.25">
      <c r="A241" t="s">
        <v>850</v>
      </c>
      <c r="B241" t="s">
        <v>1114</v>
      </c>
      <c r="C241">
        <v>0</v>
      </c>
      <c r="D241">
        <v>123702</v>
      </c>
      <c r="E241">
        <v>0</v>
      </c>
      <c r="F241">
        <v>0</v>
      </c>
      <c r="G241">
        <v>0</v>
      </c>
      <c r="H241">
        <v>0</v>
      </c>
      <c r="I241" t="e">
        <f>E241/H241</f>
        <v>#DIV/0!</v>
      </c>
    </row>
    <row r="242" spans="1:9" x14ac:dyDescent="0.25">
      <c r="A242" t="s">
        <v>851</v>
      </c>
      <c r="B242" t="s">
        <v>1116</v>
      </c>
      <c r="C242">
        <v>0</v>
      </c>
      <c r="D242">
        <v>59774</v>
      </c>
      <c r="E242">
        <v>0</v>
      </c>
      <c r="F242">
        <v>0</v>
      </c>
      <c r="G242">
        <v>0</v>
      </c>
      <c r="H242">
        <v>0</v>
      </c>
      <c r="I242" t="e">
        <f>E242/H242</f>
        <v>#DIV/0!</v>
      </c>
    </row>
    <row r="243" spans="1:9" x14ac:dyDescent="0.25">
      <c r="A243" t="s">
        <v>852</v>
      </c>
      <c r="B243" t="s">
        <v>1117</v>
      </c>
      <c r="C243">
        <v>0</v>
      </c>
      <c r="D243">
        <v>257383</v>
      </c>
      <c r="E243">
        <v>0</v>
      </c>
      <c r="F243">
        <v>0</v>
      </c>
      <c r="G243">
        <v>0</v>
      </c>
      <c r="H243">
        <v>0</v>
      </c>
      <c r="I243" t="e">
        <f>E243/H243</f>
        <v>#DIV/0!</v>
      </c>
    </row>
    <row r="244" spans="1:9" x14ac:dyDescent="0.25">
      <c r="A244" t="s">
        <v>855</v>
      </c>
      <c r="B244" t="s">
        <v>1117</v>
      </c>
      <c r="C244">
        <v>0</v>
      </c>
      <c r="D244">
        <v>248666</v>
      </c>
      <c r="E244">
        <v>0</v>
      </c>
      <c r="F244">
        <v>0</v>
      </c>
      <c r="G244">
        <v>0</v>
      </c>
      <c r="H244">
        <v>0</v>
      </c>
      <c r="I244" t="e">
        <f>E244/H244</f>
        <v>#DIV/0!</v>
      </c>
    </row>
    <row r="245" spans="1:9" x14ac:dyDescent="0.25">
      <c r="A245" t="s">
        <v>856</v>
      </c>
      <c r="B245" t="s">
        <v>1117</v>
      </c>
      <c r="C245">
        <v>0</v>
      </c>
      <c r="D245">
        <v>248666</v>
      </c>
      <c r="E245">
        <v>0</v>
      </c>
      <c r="F245">
        <v>0</v>
      </c>
      <c r="G245">
        <v>0</v>
      </c>
      <c r="H245">
        <v>0</v>
      </c>
      <c r="I245" t="e">
        <f>E245/H245</f>
        <v>#DIV/0!</v>
      </c>
    </row>
    <row r="246" spans="1:9" x14ac:dyDescent="0.25">
      <c r="A246" t="s">
        <v>857</v>
      </c>
      <c r="B246" t="s">
        <v>1103</v>
      </c>
      <c r="C246">
        <v>0</v>
      </c>
      <c r="D246">
        <v>95943</v>
      </c>
      <c r="E246">
        <v>0</v>
      </c>
      <c r="F246">
        <v>0</v>
      </c>
      <c r="G246">
        <v>0</v>
      </c>
      <c r="H246">
        <v>0</v>
      </c>
      <c r="I246" t="e">
        <f>E246/H246</f>
        <v>#DIV/0!</v>
      </c>
    </row>
    <row r="247" spans="1:9" x14ac:dyDescent="0.25">
      <c r="A247" t="s">
        <v>858</v>
      </c>
      <c r="B247" t="s">
        <v>1103</v>
      </c>
      <c r="C247">
        <v>0</v>
      </c>
      <c r="D247">
        <v>95943</v>
      </c>
      <c r="E247">
        <v>0</v>
      </c>
      <c r="F247">
        <v>0</v>
      </c>
      <c r="G247">
        <v>0</v>
      </c>
      <c r="H247">
        <v>0</v>
      </c>
      <c r="I247" t="e">
        <f>E247/H247</f>
        <v>#DIV/0!</v>
      </c>
    </row>
    <row r="248" spans="1:9" x14ac:dyDescent="0.25">
      <c r="A248" t="s">
        <v>859</v>
      </c>
      <c r="B248" t="s">
        <v>1120</v>
      </c>
      <c r="C248">
        <v>0</v>
      </c>
      <c r="D248">
        <v>187075</v>
      </c>
      <c r="E248">
        <v>0</v>
      </c>
      <c r="F248">
        <v>0</v>
      </c>
      <c r="G248">
        <v>0</v>
      </c>
      <c r="H248">
        <v>0</v>
      </c>
      <c r="I248" t="e">
        <f>E248/H248</f>
        <v>#DIV/0!</v>
      </c>
    </row>
    <row r="249" spans="1:9" x14ac:dyDescent="0.25">
      <c r="A249" t="s">
        <v>860</v>
      </c>
      <c r="B249" t="s">
        <v>1120</v>
      </c>
      <c r="C249">
        <v>0</v>
      </c>
      <c r="D249">
        <v>187075</v>
      </c>
      <c r="E249">
        <v>0</v>
      </c>
      <c r="F249">
        <v>0</v>
      </c>
      <c r="G249">
        <v>0</v>
      </c>
      <c r="H249">
        <v>0</v>
      </c>
      <c r="I249" t="e">
        <f>E249/H249</f>
        <v>#DIV/0!</v>
      </c>
    </row>
    <row r="250" spans="1:9" x14ac:dyDescent="0.25">
      <c r="A250" t="s">
        <v>861</v>
      </c>
      <c r="B250" t="s">
        <v>1120</v>
      </c>
      <c r="C250">
        <v>0</v>
      </c>
      <c r="D250">
        <v>187075</v>
      </c>
      <c r="E250">
        <v>0</v>
      </c>
      <c r="F250">
        <v>0</v>
      </c>
      <c r="G250">
        <v>0</v>
      </c>
      <c r="H250">
        <v>0</v>
      </c>
      <c r="I250" t="e">
        <f>E250/H250</f>
        <v>#DIV/0!</v>
      </c>
    </row>
    <row r="251" spans="1:9" x14ac:dyDescent="0.25">
      <c r="A251" t="s">
        <v>862</v>
      </c>
      <c r="B251" t="s">
        <v>1121</v>
      </c>
      <c r="C251">
        <v>0</v>
      </c>
      <c r="D251">
        <v>12289</v>
      </c>
      <c r="E251">
        <v>0</v>
      </c>
      <c r="F251">
        <v>0</v>
      </c>
      <c r="G251">
        <v>0</v>
      </c>
      <c r="H251">
        <v>0</v>
      </c>
      <c r="I251" t="e">
        <f>E251/H251</f>
        <v>#DIV/0!</v>
      </c>
    </row>
    <row r="252" spans="1:9" x14ac:dyDescent="0.25">
      <c r="A252" t="s">
        <v>863</v>
      </c>
      <c r="B252" t="s">
        <v>1122</v>
      </c>
      <c r="C252">
        <v>0</v>
      </c>
      <c r="D252">
        <v>207259</v>
      </c>
      <c r="E252">
        <v>0</v>
      </c>
      <c r="F252">
        <v>0</v>
      </c>
      <c r="G252">
        <v>0</v>
      </c>
      <c r="H252">
        <v>0</v>
      </c>
      <c r="I252" t="e">
        <f>E252/H252</f>
        <v>#DIV/0!</v>
      </c>
    </row>
    <row r="253" spans="1:9" x14ac:dyDescent="0.25">
      <c r="A253" t="s">
        <v>864</v>
      </c>
      <c r="B253" t="s">
        <v>1073</v>
      </c>
      <c r="C253">
        <v>0</v>
      </c>
      <c r="D253">
        <v>74061</v>
      </c>
      <c r="E253">
        <v>0</v>
      </c>
      <c r="F253">
        <v>0</v>
      </c>
      <c r="G253">
        <v>0</v>
      </c>
      <c r="H253">
        <v>0</v>
      </c>
      <c r="I253" t="e">
        <f>E253/H253</f>
        <v>#DIV/0!</v>
      </c>
    </row>
    <row r="254" spans="1:9" x14ac:dyDescent="0.25">
      <c r="A254" t="s">
        <v>865</v>
      </c>
      <c r="B254" t="s">
        <v>1122</v>
      </c>
      <c r="C254">
        <v>0</v>
      </c>
      <c r="D254">
        <v>196894</v>
      </c>
      <c r="E254">
        <v>0</v>
      </c>
      <c r="F254">
        <v>0</v>
      </c>
      <c r="G254">
        <v>0</v>
      </c>
      <c r="H254">
        <v>0</v>
      </c>
      <c r="I254" t="e">
        <f>E254/H254</f>
        <v>#DIV/0!</v>
      </c>
    </row>
    <row r="255" spans="1:9" x14ac:dyDescent="0.25">
      <c r="A255" t="s">
        <v>866</v>
      </c>
      <c r="B255" t="s">
        <v>1122</v>
      </c>
      <c r="C255">
        <v>0</v>
      </c>
      <c r="D255">
        <v>196894</v>
      </c>
      <c r="E255">
        <v>0</v>
      </c>
      <c r="F255">
        <v>0</v>
      </c>
      <c r="G255">
        <v>0</v>
      </c>
      <c r="H255">
        <v>0</v>
      </c>
      <c r="I255" t="e">
        <f>E255/H255</f>
        <v>#DIV/0!</v>
      </c>
    </row>
    <row r="256" spans="1:9" x14ac:dyDescent="0.25">
      <c r="A256" t="s">
        <v>867</v>
      </c>
      <c r="B256" t="s">
        <v>1123</v>
      </c>
      <c r="C256">
        <v>0</v>
      </c>
      <c r="D256">
        <v>23183</v>
      </c>
      <c r="E256">
        <v>0</v>
      </c>
      <c r="F256">
        <v>0</v>
      </c>
      <c r="G256">
        <v>0</v>
      </c>
      <c r="H256">
        <v>0</v>
      </c>
      <c r="I256" t="e">
        <f>E256/H256</f>
        <v>#DIV/0!</v>
      </c>
    </row>
    <row r="257" spans="1:9" x14ac:dyDescent="0.25">
      <c r="A257" t="s">
        <v>868</v>
      </c>
      <c r="B257" t="s">
        <v>1124</v>
      </c>
      <c r="C257">
        <v>0</v>
      </c>
      <c r="D257">
        <v>31298</v>
      </c>
      <c r="E257">
        <v>0</v>
      </c>
      <c r="F257">
        <v>0</v>
      </c>
      <c r="G257">
        <v>0</v>
      </c>
      <c r="H257">
        <v>0</v>
      </c>
      <c r="I257" t="e">
        <f>E257/H257</f>
        <v>#DIV/0!</v>
      </c>
    </row>
    <row r="258" spans="1:9" x14ac:dyDescent="0.25">
      <c r="A258" t="s">
        <v>869</v>
      </c>
      <c r="B258" t="s">
        <v>1124</v>
      </c>
      <c r="C258">
        <v>0</v>
      </c>
      <c r="D258">
        <v>31298</v>
      </c>
      <c r="E258">
        <v>0</v>
      </c>
      <c r="F258">
        <v>0</v>
      </c>
      <c r="G258">
        <v>0</v>
      </c>
      <c r="H258">
        <v>0</v>
      </c>
      <c r="I258" t="e">
        <f>E258/H258</f>
        <v>#DIV/0!</v>
      </c>
    </row>
    <row r="259" spans="1:9" x14ac:dyDescent="0.25">
      <c r="A259" t="s">
        <v>870</v>
      </c>
      <c r="B259" t="s">
        <v>1125</v>
      </c>
      <c r="C259">
        <v>0</v>
      </c>
      <c r="D259">
        <v>78330</v>
      </c>
      <c r="E259">
        <v>0</v>
      </c>
      <c r="F259">
        <v>0</v>
      </c>
      <c r="G259">
        <v>0</v>
      </c>
      <c r="H259">
        <v>0</v>
      </c>
      <c r="I259" t="e">
        <f>E259/H259</f>
        <v>#DIV/0!</v>
      </c>
    </row>
    <row r="260" spans="1:9" x14ac:dyDescent="0.25">
      <c r="A260" t="s">
        <v>871</v>
      </c>
      <c r="B260" t="s">
        <v>1126</v>
      </c>
      <c r="C260">
        <v>0</v>
      </c>
      <c r="D260">
        <v>62673</v>
      </c>
      <c r="E260">
        <v>0</v>
      </c>
      <c r="F260">
        <v>0</v>
      </c>
      <c r="G260">
        <v>0</v>
      </c>
      <c r="H260">
        <v>0</v>
      </c>
      <c r="I260" t="e">
        <f>E260/H260</f>
        <v>#DIV/0!</v>
      </c>
    </row>
    <row r="261" spans="1:9" x14ac:dyDescent="0.25">
      <c r="A261" t="s">
        <v>872</v>
      </c>
      <c r="B261" t="s">
        <v>1127</v>
      </c>
      <c r="C261">
        <v>0</v>
      </c>
      <c r="D261">
        <v>62673</v>
      </c>
      <c r="E261">
        <v>0</v>
      </c>
      <c r="F261">
        <v>0</v>
      </c>
      <c r="G261">
        <v>0</v>
      </c>
      <c r="H261">
        <v>0</v>
      </c>
      <c r="I261" t="e">
        <f>E261/H261</f>
        <v>#DIV/0!</v>
      </c>
    </row>
    <row r="262" spans="1:9" x14ac:dyDescent="0.25">
      <c r="A262" t="s">
        <v>873</v>
      </c>
      <c r="B262" t="s">
        <v>1128</v>
      </c>
      <c r="C262">
        <v>0</v>
      </c>
      <c r="D262">
        <v>72313</v>
      </c>
      <c r="E262">
        <v>0</v>
      </c>
      <c r="F262">
        <v>0</v>
      </c>
      <c r="G262">
        <v>0</v>
      </c>
      <c r="H262">
        <v>0</v>
      </c>
      <c r="I262" t="e">
        <f>E262/H262</f>
        <v>#DIV/0!</v>
      </c>
    </row>
    <row r="263" spans="1:9" x14ac:dyDescent="0.25">
      <c r="A263" t="s">
        <v>874</v>
      </c>
      <c r="B263" t="s">
        <v>1129</v>
      </c>
      <c r="C263">
        <v>0</v>
      </c>
      <c r="D263">
        <v>0</v>
      </c>
      <c r="E263">
        <v>1276063</v>
      </c>
      <c r="F263">
        <v>1156173</v>
      </c>
      <c r="G263">
        <v>0</v>
      </c>
      <c r="H263">
        <v>0</v>
      </c>
      <c r="I263" t="e">
        <f>E263/H263</f>
        <v>#DIV/0!</v>
      </c>
    </row>
    <row r="264" spans="1:9" x14ac:dyDescent="0.25">
      <c r="A264" t="s">
        <v>875</v>
      </c>
      <c r="B264" t="s">
        <v>1130</v>
      </c>
      <c r="C264">
        <v>0</v>
      </c>
      <c r="D264">
        <v>0</v>
      </c>
      <c r="E264">
        <v>1304649</v>
      </c>
      <c r="F264">
        <v>1166740</v>
      </c>
      <c r="G264">
        <v>0</v>
      </c>
      <c r="H264">
        <v>0</v>
      </c>
      <c r="I264" t="e">
        <f>E264/H264</f>
        <v>#DIV/0!</v>
      </c>
    </row>
    <row r="265" spans="1:9" x14ac:dyDescent="0.25">
      <c r="A265" t="s">
        <v>879</v>
      </c>
      <c r="B265" t="s">
        <v>1134</v>
      </c>
      <c r="C265">
        <v>0</v>
      </c>
      <c r="D265">
        <v>0</v>
      </c>
      <c r="E265">
        <v>2998310</v>
      </c>
      <c r="F265">
        <v>2564362</v>
      </c>
      <c r="G265">
        <v>0</v>
      </c>
      <c r="H265">
        <v>0</v>
      </c>
      <c r="I265" t="e">
        <f>E265/H265</f>
        <v>#DIV/0!</v>
      </c>
    </row>
    <row r="266" spans="1:9" x14ac:dyDescent="0.25">
      <c r="A266" t="s">
        <v>880</v>
      </c>
      <c r="B266" t="s">
        <v>1134</v>
      </c>
      <c r="C266">
        <v>0</v>
      </c>
      <c r="D266">
        <v>0</v>
      </c>
      <c r="E266">
        <v>2998310</v>
      </c>
      <c r="F266">
        <v>2504202</v>
      </c>
      <c r="G266">
        <v>0</v>
      </c>
      <c r="H266">
        <v>0</v>
      </c>
      <c r="I266" t="e">
        <f>E266/H266</f>
        <v>#DIV/0!</v>
      </c>
    </row>
    <row r="267" spans="1:9" x14ac:dyDescent="0.25">
      <c r="A267" t="s">
        <v>881</v>
      </c>
      <c r="B267" t="s">
        <v>1134</v>
      </c>
      <c r="C267">
        <v>0</v>
      </c>
      <c r="D267">
        <v>0</v>
      </c>
      <c r="E267">
        <v>2998310</v>
      </c>
      <c r="F267">
        <v>2504202</v>
      </c>
      <c r="G267">
        <v>0</v>
      </c>
      <c r="H267">
        <v>0</v>
      </c>
      <c r="I267" t="e">
        <f>E267/H267</f>
        <v>#DIV/0!</v>
      </c>
    </row>
    <row r="268" spans="1:9" x14ac:dyDescent="0.25">
      <c r="A268" t="s">
        <v>882</v>
      </c>
      <c r="B268" t="s">
        <v>1135</v>
      </c>
      <c r="C268">
        <v>0</v>
      </c>
      <c r="D268">
        <v>0</v>
      </c>
      <c r="E268">
        <v>1584017</v>
      </c>
      <c r="F268">
        <v>1701353</v>
      </c>
      <c r="G268">
        <v>414252</v>
      </c>
      <c r="H268">
        <v>0</v>
      </c>
      <c r="I268" t="e">
        <f>E268/H268</f>
        <v>#DIV/0!</v>
      </c>
    </row>
    <row r="269" spans="1:9" x14ac:dyDescent="0.25">
      <c r="A269" t="s">
        <v>883</v>
      </c>
      <c r="B269" t="s">
        <v>1135</v>
      </c>
      <c r="C269">
        <v>0</v>
      </c>
      <c r="D269">
        <v>0</v>
      </c>
      <c r="E269">
        <v>1603704</v>
      </c>
      <c r="F269">
        <v>1701353</v>
      </c>
      <c r="G269">
        <v>414252</v>
      </c>
      <c r="H269">
        <v>0</v>
      </c>
      <c r="I269" t="e">
        <f>E269/H269</f>
        <v>#DIV/0!</v>
      </c>
    </row>
    <row r="270" spans="1:9" x14ac:dyDescent="0.25">
      <c r="A270" t="s">
        <v>887</v>
      </c>
      <c r="B270" t="s">
        <v>1138</v>
      </c>
      <c r="C270">
        <v>0</v>
      </c>
      <c r="D270">
        <v>0</v>
      </c>
      <c r="E270">
        <v>1519765</v>
      </c>
      <c r="F270">
        <v>1724438</v>
      </c>
      <c r="G270">
        <v>0</v>
      </c>
      <c r="H270">
        <v>0</v>
      </c>
      <c r="I270" t="e">
        <f>E270/H270</f>
        <v>#DIV/0!</v>
      </c>
    </row>
    <row r="271" spans="1:9" x14ac:dyDescent="0.25">
      <c r="A271" t="s">
        <v>888</v>
      </c>
      <c r="B271" t="s">
        <v>1139</v>
      </c>
      <c r="C271">
        <v>0</v>
      </c>
      <c r="D271">
        <v>0</v>
      </c>
      <c r="E271">
        <v>1519765</v>
      </c>
      <c r="F271">
        <v>1724438</v>
      </c>
      <c r="G271">
        <v>0</v>
      </c>
      <c r="H271">
        <v>0</v>
      </c>
      <c r="I271" t="e">
        <f>E271/H271</f>
        <v>#DIV/0!</v>
      </c>
    </row>
    <row r="272" spans="1:9" x14ac:dyDescent="0.25">
      <c r="A272" t="s">
        <v>889</v>
      </c>
      <c r="B272" t="s">
        <v>1140</v>
      </c>
      <c r="C272">
        <v>0</v>
      </c>
      <c r="D272">
        <v>0</v>
      </c>
      <c r="E272">
        <v>1499664</v>
      </c>
      <c r="F272">
        <v>1654367</v>
      </c>
      <c r="G272">
        <v>0</v>
      </c>
      <c r="H272">
        <v>0</v>
      </c>
      <c r="I272" t="e">
        <f>E272/H272</f>
        <v>#DIV/0!</v>
      </c>
    </row>
    <row r="273" spans="1:9" x14ac:dyDescent="0.25">
      <c r="A273" t="s">
        <v>890</v>
      </c>
      <c r="B273" t="s">
        <v>1139</v>
      </c>
      <c r="C273">
        <v>0</v>
      </c>
      <c r="D273">
        <v>0</v>
      </c>
      <c r="E273">
        <v>1578648</v>
      </c>
      <c r="F273">
        <v>1734026</v>
      </c>
      <c r="G273">
        <v>0</v>
      </c>
      <c r="H273">
        <v>0</v>
      </c>
      <c r="I273" t="e">
        <f>E273/H273</f>
        <v>#DIV/0!</v>
      </c>
    </row>
    <row r="274" spans="1:9" x14ac:dyDescent="0.25">
      <c r="A274" t="s">
        <v>891</v>
      </c>
      <c r="B274" t="s">
        <v>1141</v>
      </c>
      <c r="C274">
        <v>0</v>
      </c>
      <c r="D274">
        <v>0</v>
      </c>
      <c r="E274">
        <v>996148</v>
      </c>
      <c r="F274">
        <v>1130854</v>
      </c>
      <c r="G274">
        <v>252808</v>
      </c>
      <c r="H274">
        <v>0</v>
      </c>
      <c r="I274" t="e">
        <f>E274/H274</f>
        <v>#DIV/0!</v>
      </c>
    </row>
    <row r="275" spans="1:9" x14ac:dyDescent="0.25">
      <c r="A275" t="s">
        <v>892</v>
      </c>
      <c r="B275" t="s">
        <v>1142</v>
      </c>
      <c r="C275">
        <v>0</v>
      </c>
      <c r="D275">
        <v>0</v>
      </c>
      <c r="E275">
        <v>996148</v>
      </c>
      <c r="F275">
        <v>1130854</v>
      </c>
      <c r="G275">
        <v>252808</v>
      </c>
      <c r="H275">
        <v>0</v>
      </c>
      <c r="I275" t="e">
        <f>E275/H275</f>
        <v>#DIV/0!</v>
      </c>
    </row>
    <row r="276" spans="1:9" x14ac:dyDescent="0.25">
      <c r="A276" t="s">
        <v>893</v>
      </c>
      <c r="B276" t="s">
        <v>1143</v>
      </c>
      <c r="C276">
        <v>0</v>
      </c>
      <c r="D276">
        <v>0</v>
      </c>
      <c r="E276">
        <v>1180942</v>
      </c>
      <c r="F276">
        <v>1364223</v>
      </c>
      <c r="G276">
        <v>252808</v>
      </c>
      <c r="H276">
        <v>0</v>
      </c>
      <c r="I276" t="e">
        <f>E276/H276</f>
        <v>#DIV/0!</v>
      </c>
    </row>
    <row r="277" spans="1:9" x14ac:dyDescent="0.25">
      <c r="A277" t="s">
        <v>894</v>
      </c>
      <c r="B277" t="s">
        <v>1144</v>
      </c>
      <c r="C277">
        <v>0</v>
      </c>
      <c r="D277">
        <v>0</v>
      </c>
      <c r="E277">
        <v>729680</v>
      </c>
      <c r="F277">
        <v>877067</v>
      </c>
      <c r="G277">
        <v>0</v>
      </c>
      <c r="H277">
        <v>0</v>
      </c>
      <c r="I277" t="e">
        <f>E277/H277</f>
        <v>#DIV/0!</v>
      </c>
    </row>
    <row r="278" spans="1:9" x14ac:dyDescent="0.25">
      <c r="A278" t="s">
        <v>895</v>
      </c>
      <c r="B278" t="s">
        <v>1144</v>
      </c>
      <c r="C278">
        <v>0</v>
      </c>
      <c r="D278">
        <v>0</v>
      </c>
      <c r="E278">
        <v>839926</v>
      </c>
      <c r="F278">
        <v>970665</v>
      </c>
      <c r="G278">
        <v>0</v>
      </c>
      <c r="H278">
        <v>0</v>
      </c>
      <c r="I278" t="e">
        <f>E278/H278</f>
        <v>#DIV/0!</v>
      </c>
    </row>
    <row r="279" spans="1:9" x14ac:dyDescent="0.25">
      <c r="A279" t="s">
        <v>902</v>
      </c>
      <c r="B279" t="s">
        <v>1148</v>
      </c>
      <c r="C279">
        <v>0</v>
      </c>
      <c r="D279">
        <v>0</v>
      </c>
      <c r="E279">
        <v>456504</v>
      </c>
      <c r="F279">
        <v>882213</v>
      </c>
      <c r="G279">
        <v>0</v>
      </c>
      <c r="H279">
        <v>0</v>
      </c>
      <c r="I279" t="e">
        <f>E279/H279</f>
        <v>#DIV/0!</v>
      </c>
    </row>
    <row r="280" spans="1:9" x14ac:dyDescent="0.25">
      <c r="A280" t="s">
        <v>905</v>
      </c>
      <c r="B280" t="s">
        <v>1150</v>
      </c>
      <c r="C280">
        <v>0</v>
      </c>
      <c r="D280">
        <v>0</v>
      </c>
      <c r="E280">
        <v>1170933</v>
      </c>
      <c r="F280">
        <v>1041665</v>
      </c>
      <c r="G280">
        <v>0</v>
      </c>
      <c r="H280">
        <v>0</v>
      </c>
      <c r="I280" t="e">
        <f>E280/H280</f>
        <v>#DIV/0!</v>
      </c>
    </row>
    <row r="281" spans="1:9" x14ac:dyDescent="0.25">
      <c r="A281" t="s">
        <v>906</v>
      </c>
      <c r="B281" t="s">
        <v>1150</v>
      </c>
      <c r="C281">
        <v>0</v>
      </c>
      <c r="D281">
        <v>0</v>
      </c>
      <c r="E281">
        <v>1170933</v>
      </c>
      <c r="F281">
        <v>1041665</v>
      </c>
      <c r="G281">
        <v>0</v>
      </c>
      <c r="H281">
        <v>0</v>
      </c>
      <c r="I281" t="e">
        <f>E281/H281</f>
        <v>#DIV/0!</v>
      </c>
    </row>
    <row r="282" spans="1:9" x14ac:dyDescent="0.25">
      <c r="A282" t="s">
        <v>907</v>
      </c>
      <c r="B282" t="s">
        <v>1150</v>
      </c>
      <c r="C282">
        <v>0</v>
      </c>
      <c r="D282">
        <v>0</v>
      </c>
      <c r="E282">
        <v>1338605</v>
      </c>
      <c r="F282">
        <v>1056506</v>
      </c>
      <c r="G282">
        <v>0</v>
      </c>
      <c r="H282">
        <v>0</v>
      </c>
      <c r="I282" t="e">
        <f>E282/H282</f>
        <v>#DIV/0!</v>
      </c>
    </row>
    <row r="283" spans="1:9" x14ac:dyDescent="0.25">
      <c r="A283" t="s">
        <v>908</v>
      </c>
      <c r="B283" t="s">
        <v>1151</v>
      </c>
      <c r="C283">
        <v>0</v>
      </c>
      <c r="D283">
        <v>0</v>
      </c>
      <c r="E283">
        <v>649730</v>
      </c>
      <c r="F283">
        <v>728029</v>
      </c>
      <c r="G283">
        <v>0</v>
      </c>
      <c r="H283">
        <v>0</v>
      </c>
      <c r="I283" t="e">
        <f>E283/H283</f>
        <v>#DIV/0!</v>
      </c>
    </row>
    <row r="284" spans="1:9" x14ac:dyDescent="0.25">
      <c r="A284" t="s">
        <v>909</v>
      </c>
      <c r="B284" t="s">
        <v>1151</v>
      </c>
      <c r="C284">
        <v>0</v>
      </c>
      <c r="D284">
        <v>0</v>
      </c>
      <c r="E284">
        <v>652152</v>
      </c>
      <c r="F284">
        <v>731302</v>
      </c>
      <c r="G284">
        <v>0</v>
      </c>
      <c r="H284">
        <v>0</v>
      </c>
      <c r="I284" t="e">
        <f>E284/H284</f>
        <v>#DIV/0!</v>
      </c>
    </row>
    <row r="285" spans="1:9" x14ac:dyDescent="0.25">
      <c r="A285" t="s">
        <v>913</v>
      </c>
      <c r="B285" t="s">
        <v>1154</v>
      </c>
      <c r="C285">
        <v>0</v>
      </c>
      <c r="D285">
        <v>0</v>
      </c>
      <c r="E285">
        <v>892953</v>
      </c>
      <c r="F285">
        <v>824914</v>
      </c>
      <c r="G285">
        <v>0</v>
      </c>
      <c r="H285">
        <v>0</v>
      </c>
      <c r="I285" t="e">
        <f>E285/H285</f>
        <v>#DIV/0!</v>
      </c>
    </row>
    <row r="286" spans="1:9" x14ac:dyDescent="0.25">
      <c r="A286" t="s">
        <v>914</v>
      </c>
      <c r="B286" t="s">
        <v>1154</v>
      </c>
      <c r="C286">
        <v>0</v>
      </c>
      <c r="D286">
        <v>0</v>
      </c>
      <c r="E286">
        <v>892953</v>
      </c>
      <c r="F286">
        <v>824914</v>
      </c>
      <c r="G286">
        <v>0</v>
      </c>
      <c r="H286">
        <v>0</v>
      </c>
      <c r="I286" t="e">
        <f>E286/H286</f>
        <v>#DIV/0!</v>
      </c>
    </row>
    <row r="287" spans="1:9" x14ac:dyDescent="0.25">
      <c r="A287" t="s">
        <v>915</v>
      </c>
      <c r="B287" t="s">
        <v>1154</v>
      </c>
      <c r="C287">
        <v>0</v>
      </c>
      <c r="D287">
        <v>0</v>
      </c>
      <c r="E287">
        <v>915289</v>
      </c>
      <c r="F287">
        <v>1011855</v>
      </c>
      <c r="G287">
        <v>0</v>
      </c>
      <c r="H287">
        <v>0</v>
      </c>
      <c r="I287" t="e">
        <f>E287/H287</f>
        <v>#DIV/0!</v>
      </c>
    </row>
    <row r="288" spans="1:9" x14ac:dyDescent="0.25">
      <c r="A288" t="s">
        <v>917</v>
      </c>
      <c r="B288" t="s">
        <v>1155</v>
      </c>
      <c r="C288">
        <v>0</v>
      </c>
      <c r="D288">
        <v>0</v>
      </c>
      <c r="E288">
        <v>857384</v>
      </c>
      <c r="F288">
        <v>875674</v>
      </c>
      <c r="G288">
        <v>0</v>
      </c>
      <c r="H288">
        <v>0</v>
      </c>
      <c r="I288" t="e">
        <f>E288/H288</f>
        <v>#DIV/0!</v>
      </c>
    </row>
    <row r="289" spans="1:9" x14ac:dyDescent="0.25">
      <c r="A289" t="s">
        <v>918</v>
      </c>
      <c r="B289" t="s">
        <v>1156</v>
      </c>
      <c r="C289">
        <v>0</v>
      </c>
      <c r="D289">
        <v>0</v>
      </c>
      <c r="E289">
        <v>1135731</v>
      </c>
      <c r="F289">
        <v>1515243</v>
      </c>
      <c r="G289">
        <v>0</v>
      </c>
      <c r="H289">
        <v>0</v>
      </c>
      <c r="I289" t="e">
        <f>E289/H289</f>
        <v>#DIV/0!</v>
      </c>
    </row>
    <row r="290" spans="1:9" x14ac:dyDescent="0.25">
      <c r="A290" t="s">
        <v>919</v>
      </c>
      <c r="B290" t="s">
        <v>1119</v>
      </c>
      <c r="C290">
        <v>0</v>
      </c>
      <c r="D290">
        <v>0</v>
      </c>
      <c r="E290">
        <v>1171400</v>
      </c>
      <c r="F290">
        <v>1588834</v>
      </c>
      <c r="G290">
        <v>0</v>
      </c>
      <c r="H290">
        <v>0</v>
      </c>
      <c r="I290" t="e">
        <f>E290/H290</f>
        <v>#DIV/0!</v>
      </c>
    </row>
    <row r="291" spans="1:9" x14ac:dyDescent="0.25">
      <c r="A291" t="s">
        <v>920</v>
      </c>
      <c r="B291" t="s">
        <v>1157</v>
      </c>
      <c r="C291">
        <v>0</v>
      </c>
      <c r="D291">
        <v>0</v>
      </c>
      <c r="E291">
        <v>940083</v>
      </c>
      <c r="F291">
        <v>462052</v>
      </c>
      <c r="G291">
        <v>0</v>
      </c>
      <c r="H291">
        <v>0</v>
      </c>
      <c r="I291" t="e">
        <f>E291/H291</f>
        <v>#DIV/0!</v>
      </c>
    </row>
    <row r="292" spans="1:9" x14ac:dyDescent="0.25">
      <c r="A292" t="s">
        <v>921</v>
      </c>
      <c r="B292" t="s">
        <v>1119</v>
      </c>
      <c r="C292">
        <v>0</v>
      </c>
      <c r="D292">
        <v>0</v>
      </c>
      <c r="E292">
        <v>1122669</v>
      </c>
      <c r="F292">
        <v>462052</v>
      </c>
      <c r="G292">
        <v>0</v>
      </c>
      <c r="H292">
        <v>0</v>
      </c>
      <c r="I292" t="e">
        <f>E292/H292</f>
        <v>#DIV/0!</v>
      </c>
    </row>
    <row r="293" spans="1:9" x14ac:dyDescent="0.25">
      <c r="A293" t="s">
        <v>922</v>
      </c>
      <c r="B293" t="s">
        <v>1158</v>
      </c>
      <c r="C293">
        <v>0</v>
      </c>
      <c r="D293">
        <v>0</v>
      </c>
      <c r="E293">
        <v>805402</v>
      </c>
      <c r="F293">
        <v>805603</v>
      </c>
      <c r="G293">
        <v>0</v>
      </c>
      <c r="H293">
        <v>0</v>
      </c>
      <c r="I293" t="e">
        <f>E293/H293</f>
        <v>#DIV/0!</v>
      </c>
    </row>
    <row r="294" spans="1:9" x14ac:dyDescent="0.25">
      <c r="A294" t="s">
        <v>923</v>
      </c>
      <c r="B294" t="s">
        <v>1159</v>
      </c>
      <c r="C294">
        <v>0</v>
      </c>
      <c r="D294">
        <v>0</v>
      </c>
      <c r="E294">
        <v>213967</v>
      </c>
      <c r="F294">
        <v>332542</v>
      </c>
      <c r="G294">
        <v>0</v>
      </c>
      <c r="H294">
        <v>0</v>
      </c>
      <c r="I294" t="e">
        <f>E294/H294</f>
        <v>#DIV/0!</v>
      </c>
    </row>
    <row r="295" spans="1:9" x14ac:dyDescent="0.25">
      <c r="A295" t="s">
        <v>924</v>
      </c>
      <c r="B295" t="s">
        <v>1160</v>
      </c>
      <c r="C295">
        <v>0</v>
      </c>
      <c r="D295">
        <v>0</v>
      </c>
      <c r="E295">
        <v>192962</v>
      </c>
      <c r="F295">
        <v>239077</v>
      </c>
      <c r="G295">
        <v>0</v>
      </c>
      <c r="H295">
        <v>0</v>
      </c>
      <c r="I295" t="e">
        <f>E295/H295</f>
        <v>#DIV/0!</v>
      </c>
    </row>
    <row r="296" spans="1:9" x14ac:dyDescent="0.25">
      <c r="A296" t="s">
        <v>925</v>
      </c>
      <c r="B296" t="s">
        <v>1119</v>
      </c>
      <c r="C296">
        <v>0</v>
      </c>
      <c r="D296">
        <v>0</v>
      </c>
      <c r="E296">
        <v>192962</v>
      </c>
      <c r="F296">
        <v>239077</v>
      </c>
      <c r="G296">
        <v>0</v>
      </c>
      <c r="H296">
        <v>0</v>
      </c>
      <c r="I296" t="e">
        <f>E296/H296</f>
        <v>#DIV/0!</v>
      </c>
    </row>
    <row r="297" spans="1:9" x14ac:dyDescent="0.25">
      <c r="A297" t="s">
        <v>926</v>
      </c>
      <c r="B297" t="s">
        <v>1161</v>
      </c>
      <c r="C297">
        <v>0</v>
      </c>
      <c r="D297">
        <v>0</v>
      </c>
      <c r="E297">
        <v>815761</v>
      </c>
      <c r="F297">
        <v>751911</v>
      </c>
      <c r="G297">
        <v>0</v>
      </c>
      <c r="H297">
        <v>0</v>
      </c>
      <c r="I297" t="e">
        <f>E297/H297</f>
        <v>#DIV/0!</v>
      </c>
    </row>
    <row r="298" spans="1:9" x14ac:dyDescent="0.25">
      <c r="A298" t="s">
        <v>927</v>
      </c>
      <c r="B298" t="s">
        <v>1162</v>
      </c>
      <c r="C298">
        <v>0</v>
      </c>
      <c r="D298">
        <v>0</v>
      </c>
      <c r="E298">
        <v>815761</v>
      </c>
      <c r="F298">
        <v>751911</v>
      </c>
      <c r="G298">
        <v>0</v>
      </c>
      <c r="H298">
        <v>0</v>
      </c>
      <c r="I298" t="e">
        <f>E298/H298</f>
        <v>#DIV/0!</v>
      </c>
    </row>
    <row r="299" spans="1:9" x14ac:dyDescent="0.25">
      <c r="A299" t="s">
        <v>928</v>
      </c>
      <c r="B299" t="s">
        <v>1163</v>
      </c>
      <c r="C299">
        <v>0</v>
      </c>
      <c r="D299">
        <v>0</v>
      </c>
      <c r="E299">
        <v>830616</v>
      </c>
      <c r="F299">
        <v>779785</v>
      </c>
      <c r="G299">
        <v>0</v>
      </c>
      <c r="H299">
        <v>0</v>
      </c>
      <c r="I299" t="e">
        <f>E299/H299</f>
        <v>#DIV/0!</v>
      </c>
    </row>
    <row r="300" spans="1:9" x14ac:dyDescent="0.25">
      <c r="A300" t="s">
        <v>929</v>
      </c>
      <c r="B300" t="s">
        <v>1164</v>
      </c>
      <c r="C300">
        <v>0</v>
      </c>
      <c r="D300">
        <v>0</v>
      </c>
      <c r="E300">
        <v>360064</v>
      </c>
      <c r="F300">
        <v>408868</v>
      </c>
      <c r="G300">
        <v>0</v>
      </c>
      <c r="H300">
        <v>0</v>
      </c>
      <c r="I300" t="e">
        <f>E300/H300</f>
        <v>#DIV/0!</v>
      </c>
    </row>
    <row r="301" spans="1:9" x14ac:dyDescent="0.25">
      <c r="A301" t="s">
        <v>930</v>
      </c>
      <c r="B301" t="s">
        <v>1165</v>
      </c>
      <c r="C301">
        <v>0</v>
      </c>
      <c r="D301">
        <v>0</v>
      </c>
      <c r="E301">
        <v>360064</v>
      </c>
      <c r="F301">
        <v>416713</v>
      </c>
      <c r="G301">
        <v>0</v>
      </c>
      <c r="H301">
        <v>0</v>
      </c>
      <c r="I301" t="e">
        <f>E301/H301</f>
        <v>#DIV/0!</v>
      </c>
    </row>
    <row r="302" spans="1:9" x14ac:dyDescent="0.25">
      <c r="A302" t="s">
        <v>932</v>
      </c>
      <c r="B302" t="s">
        <v>1166</v>
      </c>
      <c r="C302">
        <v>0</v>
      </c>
      <c r="D302">
        <v>0</v>
      </c>
      <c r="E302">
        <v>513288</v>
      </c>
      <c r="F302">
        <v>317317</v>
      </c>
      <c r="G302">
        <v>0</v>
      </c>
      <c r="H302">
        <v>0</v>
      </c>
      <c r="I302" t="e">
        <f>E302/H302</f>
        <v>#DIV/0!</v>
      </c>
    </row>
    <row r="303" spans="1:9" x14ac:dyDescent="0.25">
      <c r="A303" t="s">
        <v>933</v>
      </c>
      <c r="B303" t="s">
        <v>1167</v>
      </c>
      <c r="C303">
        <v>0</v>
      </c>
      <c r="D303">
        <v>0</v>
      </c>
      <c r="E303">
        <v>109607</v>
      </c>
      <c r="F303">
        <v>0</v>
      </c>
      <c r="G303">
        <v>0</v>
      </c>
      <c r="H303">
        <v>0</v>
      </c>
      <c r="I303" t="e">
        <f>E303/H303</f>
        <v>#DIV/0!</v>
      </c>
    </row>
    <row r="304" spans="1:9" x14ac:dyDescent="0.25">
      <c r="A304" t="s">
        <v>934</v>
      </c>
      <c r="B304" t="s">
        <v>1167</v>
      </c>
      <c r="C304">
        <v>0</v>
      </c>
      <c r="D304">
        <v>0</v>
      </c>
      <c r="E304">
        <v>109607</v>
      </c>
      <c r="F304">
        <v>0</v>
      </c>
      <c r="G304">
        <v>0</v>
      </c>
      <c r="H304">
        <v>0</v>
      </c>
      <c r="I304" t="e">
        <f>E304/H304</f>
        <v>#DIV/0!</v>
      </c>
    </row>
    <row r="305" spans="1:9" x14ac:dyDescent="0.25">
      <c r="A305" t="s">
        <v>935</v>
      </c>
      <c r="B305" t="s">
        <v>1167</v>
      </c>
      <c r="C305">
        <v>0</v>
      </c>
      <c r="D305">
        <v>0</v>
      </c>
      <c r="E305">
        <v>109607</v>
      </c>
      <c r="F305">
        <v>0</v>
      </c>
      <c r="G305">
        <v>0</v>
      </c>
      <c r="H305">
        <v>0</v>
      </c>
      <c r="I305" t="e">
        <f>E305/H305</f>
        <v>#DIV/0!</v>
      </c>
    </row>
    <row r="306" spans="1:9" x14ac:dyDescent="0.25">
      <c r="A306" t="s">
        <v>936</v>
      </c>
      <c r="B306" t="s">
        <v>1168</v>
      </c>
      <c r="C306">
        <v>0</v>
      </c>
      <c r="D306">
        <v>0</v>
      </c>
      <c r="E306">
        <v>237997</v>
      </c>
      <c r="F306">
        <v>71989</v>
      </c>
      <c r="G306">
        <v>0</v>
      </c>
      <c r="H306">
        <v>0</v>
      </c>
      <c r="I306" t="e">
        <f>E306/H306</f>
        <v>#DIV/0!</v>
      </c>
    </row>
    <row r="307" spans="1:9" x14ac:dyDescent="0.25">
      <c r="A307" t="s">
        <v>937</v>
      </c>
      <c r="B307" t="s">
        <v>1169</v>
      </c>
      <c r="C307">
        <v>0</v>
      </c>
      <c r="D307">
        <v>0</v>
      </c>
      <c r="E307">
        <v>237997</v>
      </c>
      <c r="F307">
        <v>71989</v>
      </c>
      <c r="G307">
        <v>0</v>
      </c>
      <c r="H307">
        <v>0</v>
      </c>
      <c r="I307" t="e">
        <f>E307/H307</f>
        <v>#DIV/0!</v>
      </c>
    </row>
    <row r="308" spans="1:9" x14ac:dyDescent="0.25">
      <c r="A308" t="s">
        <v>941</v>
      </c>
      <c r="B308" t="s">
        <v>1171</v>
      </c>
      <c r="C308">
        <v>0</v>
      </c>
      <c r="D308">
        <v>0</v>
      </c>
      <c r="E308">
        <v>244423</v>
      </c>
      <c r="F308">
        <v>198707</v>
      </c>
      <c r="G308">
        <v>0</v>
      </c>
      <c r="H308">
        <v>0</v>
      </c>
      <c r="I308" t="e">
        <f>E308/H308</f>
        <v>#DIV/0!</v>
      </c>
    </row>
    <row r="309" spans="1:9" x14ac:dyDescent="0.25">
      <c r="A309" t="s">
        <v>942</v>
      </c>
      <c r="B309" t="s">
        <v>1172</v>
      </c>
      <c r="C309">
        <v>0</v>
      </c>
      <c r="D309">
        <v>0</v>
      </c>
      <c r="E309">
        <v>236617</v>
      </c>
      <c r="F309">
        <v>197999</v>
      </c>
      <c r="G309">
        <v>0</v>
      </c>
      <c r="H309">
        <v>0</v>
      </c>
      <c r="I309" t="e">
        <f>E309/H309</f>
        <v>#DIV/0!</v>
      </c>
    </row>
    <row r="310" spans="1:9" x14ac:dyDescent="0.25">
      <c r="A310" t="s">
        <v>943</v>
      </c>
      <c r="B310" t="s">
        <v>1173</v>
      </c>
      <c r="C310">
        <v>0</v>
      </c>
      <c r="D310">
        <v>0</v>
      </c>
      <c r="E310">
        <v>274706</v>
      </c>
      <c r="F310">
        <v>250212</v>
      </c>
      <c r="G310">
        <v>0</v>
      </c>
      <c r="H310">
        <v>0</v>
      </c>
      <c r="I310" t="e">
        <f>E310/H310</f>
        <v>#DIV/0!</v>
      </c>
    </row>
    <row r="311" spans="1:9" x14ac:dyDescent="0.25">
      <c r="A311" t="s">
        <v>944</v>
      </c>
      <c r="B311" t="s">
        <v>1132</v>
      </c>
      <c r="C311">
        <v>0</v>
      </c>
      <c r="D311">
        <v>0</v>
      </c>
      <c r="E311">
        <v>274706</v>
      </c>
      <c r="F311">
        <v>250212</v>
      </c>
      <c r="G311">
        <v>0</v>
      </c>
      <c r="H311">
        <v>0</v>
      </c>
      <c r="I311" t="e">
        <f>E311/H311</f>
        <v>#DIV/0!</v>
      </c>
    </row>
    <row r="312" spans="1:9" x14ac:dyDescent="0.25">
      <c r="A312" t="s">
        <v>945</v>
      </c>
      <c r="B312" t="s">
        <v>1174</v>
      </c>
      <c r="C312">
        <v>0</v>
      </c>
      <c r="D312">
        <v>0</v>
      </c>
      <c r="E312">
        <v>301582</v>
      </c>
      <c r="F312">
        <v>0</v>
      </c>
      <c r="G312">
        <v>0</v>
      </c>
      <c r="H312">
        <v>0</v>
      </c>
      <c r="I312" t="e">
        <f>E312/H312</f>
        <v>#DIV/0!</v>
      </c>
    </row>
    <row r="313" spans="1:9" x14ac:dyDescent="0.25">
      <c r="A313" t="s">
        <v>946</v>
      </c>
      <c r="B313" t="s">
        <v>1119</v>
      </c>
      <c r="C313">
        <v>0</v>
      </c>
      <c r="D313">
        <v>0</v>
      </c>
      <c r="E313">
        <v>332933</v>
      </c>
      <c r="F313">
        <v>0</v>
      </c>
      <c r="G313">
        <v>0</v>
      </c>
      <c r="H313">
        <v>0</v>
      </c>
      <c r="I313" t="e">
        <f>E313/H313</f>
        <v>#DIV/0!</v>
      </c>
    </row>
    <row r="314" spans="1:9" x14ac:dyDescent="0.25">
      <c r="A314" t="s">
        <v>947</v>
      </c>
      <c r="B314" t="s">
        <v>1175</v>
      </c>
      <c r="C314">
        <v>0</v>
      </c>
      <c r="D314">
        <v>0</v>
      </c>
      <c r="E314">
        <v>608975</v>
      </c>
      <c r="F314">
        <v>587461</v>
      </c>
      <c r="G314">
        <v>0</v>
      </c>
      <c r="H314">
        <v>0</v>
      </c>
      <c r="I314" t="e">
        <f>E314/H314</f>
        <v>#DIV/0!</v>
      </c>
    </row>
    <row r="315" spans="1:9" x14ac:dyDescent="0.25">
      <c r="A315" t="s">
        <v>948</v>
      </c>
      <c r="B315" t="s">
        <v>1176</v>
      </c>
      <c r="C315">
        <v>0</v>
      </c>
      <c r="D315">
        <v>0</v>
      </c>
      <c r="E315">
        <v>861246</v>
      </c>
      <c r="F315">
        <v>743645</v>
      </c>
      <c r="G315">
        <v>0</v>
      </c>
      <c r="H315">
        <v>0</v>
      </c>
      <c r="I315" t="e">
        <f>E315/H315</f>
        <v>#DIV/0!</v>
      </c>
    </row>
    <row r="316" spans="1:9" x14ac:dyDescent="0.25">
      <c r="A316" t="s">
        <v>949</v>
      </c>
      <c r="B316" t="s">
        <v>1177</v>
      </c>
      <c r="C316">
        <v>0</v>
      </c>
      <c r="D316">
        <v>0</v>
      </c>
      <c r="E316">
        <v>863103</v>
      </c>
      <c r="F316">
        <v>743645</v>
      </c>
      <c r="G316">
        <v>0</v>
      </c>
      <c r="H316">
        <v>0</v>
      </c>
      <c r="I316" t="e">
        <f>E316/H316</f>
        <v>#DIV/0!</v>
      </c>
    </row>
    <row r="317" spans="1:9" x14ac:dyDescent="0.25">
      <c r="A317" t="s">
        <v>950</v>
      </c>
      <c r="B317" t="s">
        <v>1178</v>
      </c>
      <c r="C317">
        <v>0</v>
      </c>
      <c r="D317">
        <v>0</v>
      </c>
      <c r="E317">
        <v>282084</v>
      </c>
      <c r="F317">
        <v>0</v>
      </c>
      <c r="G317">
        <v>0</v>
      </c>
      <c r="H317">
        <v>0</v>
      </c>
      <c r="I317" t="e">
        <f>E317/H317</f>
        <v>#DIV/0!</v>
      </c>
    </row>
    <row r="318" spans="1:9" x14ac:dyDescent="0.25">
      <c r="A318" t="s">
        <v>951</v>
      </c>
      <c r="B318" t="s">
        <v>1179</v>
      </c>
      <c r="C318">
        <v>0</v>
      </c>
      <c r="D318">
        <v>0</v>
      </c>
      <c r="E318">
        <v>282084</v>
      </c>
      <c r="F318">
        <v>0</v>
      </c>
      <c r="G318">
        <v>0</v>
      </c>
      <c r="H318">
        <v>0</v>
      </c>
      <c r="I318" t="e">
        <f>E318/H318</f>
        <v>#DIV/0!</v>
      </c>
    </row>
    <row r="319" spans="1:9" x14ac:dyDescent="0.25">
      <c r="A319" t="s">
        <v>952</v>
      </c>
      <c r="B319" t="s">
        <v>1180</v>
      </c>
      <c r="C319">
        <v>0</v>
      </c>
      <c r="D319">
        <v>0</v>
      </c>
      <c r="E319">
        <v>282084</v>
      </c>
      <c r="F319">
        <v>0</v>
      </c>
      <c r="G319">
        <v>0</v>
      </c>
      <c r="H319">
        <v>0</v>
      </c>
      <c r="I319" t="e">
        <f>E319/H319</f>
        <v>#DIV/0!</v>
      </c>
    </row>
    <row r="320" spans="1:9" x14ac:dyDescent="0.25">
      <c r="A320" t="s">
        <v>953</v>
      </c>
      <c r="B320" t="s">
        <v>1181</v>
      </c>
      <c r="C320">
        <v>0</v>
      </c>
      <c r="D320">
        <v>0</v>
      </c>
      <c r="E320">
        <v>282186</v>
      </c>
      <c r="F320">
        <v>302269</v>
      </c>
      <c r="G320">
        <v>0</v>
      </c>
      <c r="H320">
        <v>0</v>
      </c>
      <c r="I320" t="e">
        <f>E320/H320</f>
        <v>#DIV/0!</v>
      </c>
    </row>
    <row r="321" spans="1:9" x14ac:dyDescent="0.25">
      <c r="A321" t="s">
        <v>954</v>
      </c>
      <c r="B321" t="s">
        <v>1182</v>
      </c>
      <c r="C321">
        <v>0</v>
      </c>
      <c r="D321">
        <v>0</v>
      </c>
      <c r="E321">
        <v>282186</v>
      </c>
      <c r="F321">
        <v>302269</v>
      </c>
      <c r="G321">
        <v>0</v>
      </c>
      <c r="H321">
        <v>0</v>
      </c>
      <c r="I321" t="e">
        <f>E321/H321</f>
        <v>#DIV/0!</v>
      </c>
    </row>
    <row r="322" spans="1:9" x14ac:dyDescent="0.25">
      <c r="A322" t="s">
        <v>955</v>
      </c>
      <c r="B322" t="s">
        <v>1183</v>
      </c>
      <c r="C322">
        <v>0</v>
      </c>
      <c r="D322">
        <v>0</v>
      </c>
      <c r="E322">
        <v>587383</v>
      </c>
      <c r="F322">
        <v>436147</v>
      </c>
      <c r="G322">
        <v>0</v>
      </c>
      <c r="H322">
        <v>0</v>
      </c>
      <c r="I322" t="e">
        <f>E322/H322</f>
        <v>#DIV/0!</v>
      </c>
    </row>
    <row r="323" spans="1:9" x14ac:dyDescent="0.25">
      <c r="A323" t="s">
        <v>956</v>
      </c>
      <c r="B323" t="s">
        <v>1135</v>
      </c>
      <c r="C323">
        <v>0</v>
      </c>
      <c r="D323">
        <v>0</v>
      </c>
      <c r="E323">
        <v>536128</v>
      </c>
      <c r="F323">
        <v>526285</v>
      </c>
      <c r="G323">
        <v>0</v>
      </c>
      <c r="H323">
        <v>0</v>
      </c>
      <c r="I323" t="e">
        <f>E323/H323</f>
        <v>#DIV/0!</v>
      </c>
    </row>
    <row r="324" spans="1:9" x14ac:dyDescent="0.25">
      <c r="A324" t="s">
        <v>957</v>
      </c>
      <c r="B324" t="s">
        <v>1184</v>
      </c>
      <c r="C324">
        <v>0</v>
      </c>
      <c r="D324">
        <v>0</v>
      </c>
      <c r="E324">
        <v>492539</v>
      </c>
      <c r="F324">
        <v>829549</v>
      </c>
      <c r="G324">
        <v>0</v>
      </c>
      <c r="H324">
        <v>0</v>
      </c>
      <c r="I324" t="e">
        <f>E324/H324</f>
        <v>#DIV/0!</v>
      </c>
    </row>
    <row r="325" spans="1:9" x14ac:dyDescent="0.25">
      <c r="A325" t="s">
        <v>958</v>
      </c>
      <c r="B325" t="s">
        <v>1185</v>
      </c>
      <c r="C325">
        <v>0</v>
      </c>
      <c r="D325">
        <v>0</v>
      </c>
      <c r="E325">
        <v>495418</v>
      </c>
      <c r="F325">
        <v>841329</v>
      </c>
      <c r="G325">
        <v>0</v>
      </c>
      <c r="H325">
        <v>0</v>
      </c>
      <c r="I325" t="e">
        <f>E325/H325</f>
        <v>#DIV/0!</v>
      </c>
    </row>
    <row r="326" spans="1:9" x14ac:dyDescent="0.25">
      <c r="A326" t="s">
        <v>959</v>
      </c>
      <c r="B326" t="s">
        <v>1186</v>
      </c>
      <c r="C326">
        <v>0</v>
      </c>
      <c r="D326">
        <v>0</v>
      </c>
      <c r="E326">
        <v>105667</v>
      </c>
      <c r="F326">
        <v>112798</v>
      </c>
      <c r="G326">
        <v>0</v>
      </c>
      <c r="H326">
        <v>0</v>
      </c>
      <c r="I326" t="e">
        <f>E326/H326</f>
        <v>#DIV/0!</v>
      </c>
    </row>
    <row r="327" spans="1:9" x14ac:dyDescent="0.25">
      <c r="A327" t="s">
        <v>960</v>
      </c>
      <c r="B327" t="s">
        <v>1186</v>
      </c>
      <c r="C327">
        <v>0</v>
      </c>
      <c r="D327">
        <v>0</v>
      </c>
      <c r="E327">
        <v>105667</v>
      </c>
      <c r="F327">
        <v>112798</v>
      </c>
      <c r="G327">
        <v>0</v>
      </c>
      <c r="H327">
        <v>0</v>
      </c>
      <c r="I327" t="e">
        <f>E327/H327</f>
        <v>#DIV/0!</v>
      </c>
    </row>
    <row r="328" spans="1:9" x14ac:dyDescent="0.25">
      <c r="A328" t="s">
        <v>961</v>
      </c>
      <c r="B328" t="s">
        <v>1187</v>
      </c>
      <c r="C328">
        <v>0</v>
      </c>
      <c r="D328">
        <v>0</v>
      </c>
      <c r="E328">
        <v>398878</v>
      </c>
      <c r="F328">
        <v>0</v>
      </c>
      <c r="G328">
        <v>0</v>
      </c>
      <c r="H328">
        <v>0</v>
      </c>
      <c r="I328" t="e">
        <f>E328/H328</f>
        <v>#DIV/0!</v>
      </c>
    </row>
    <row r="329" spans="1:9" x14ac:dyDescent="0.25">
      <c r="A329" t="s">
        <v>962</v>
      </c>
      <c r="B329" t="s">
        <v>1188</v>
      </c>
      <c r="C329">
        <v>0</v>
      </c>
      <c r="D329">
        <v>0</v>
      </c>
      <c r="E329">
        <v>398878</v>
      </c>
      <c r="F329">
        <v>0</v>
      </c>
      <c r="G329">
        <v>0</v>
      </c>
      <c r="H329">
        <v>0</v>
      </c>
      <c r="I329" t="e">
        <f>E329/H329</f>
        <v>#DIV/0!</v>
      </c>
    </row>
    <row r="330" spans="1:9" x14ac:dyDescent="0.25">
      <c r="A330" t="s">
        <v>963</v>
      </c>
      <c r="B330" t="s">
        <v>1189</v>
      </c>
      <c r="C330">
        <v>0</v>
      </c>
      <c r="D330">
        <v>0</v>
      </c>
      <c r="E330">
        <v>470698</v>
      </c>
      <c r="F330">
        <v>0</v>
      </c>
      <c r="G330">
        <v>0</v>
      </c>
      <c r="H330">
        <v>0</v>
      </c>
      <c r="I330" t="e">
        <f>E330/H330</f>
        <v>#DIV/0!</v>
      </c>
    </row>
    <row r="331" spans="1:9" x14ac:dyDescent="0.25">
      <c r="A331" t="s">
        <v>964</v>
      </c>
      <c r="B331" t="s">
        <v>1190</v>
      </c>
      <c r="C331">
        <v>0</v>
      </c>
      <c r="D331">
        <v>0</v>
      </c>
      <c r="E331">
        <v>436503</v>
      </c>
      <c r="F331">
        <v>492624</v>
      </c>
      <c r="G331">
        <v>0</v>
      </c>
      <c r="H331">
        <v>0</v>
      </c>
      <c r="I331" t="e">
        <f>E331/H331</f>
        <v>#DIV/0!</v>
      </c>
    </row>
    <row r="332" spans="1:9" x14ac:dyDescent="0.25">
      <c r="A332" t="s">
        <v>965</v>
      </c>
      <c r="B332" t="s">
        <v>1190</v>
      </c>
      <c r="C332">
        <v>0</v>
      </c>
      <c r="D332">
        <v>0</v>
      </c>
      <c r="E332">
        <v>436503</v>
      </c>
      <c r="F332">
        <v>492624</v>
      </c>
      <c r="G332">
        <v>0</v>
      </c>
      <c r="H332">
        <v>0</v>
      </c>
      <c r="I332" t="e">
        <f>E332/H332</f>
        <v>#DIV/0!</v>
      </c>
    </row>
    <row r="333" spans="1:9" x14ac:dyDescent="0.25">
      <c r="A333" t="s">
        <v>966</v>
      </c>
      <c r="B333" t="s">
        <v>1190</v>
      </c>
      <c r="C333">
        <v>0</v>
      </c>
      <c r="D333">
        <v>0</v>
      </c>
      <c r="E333">
        <v>436503</v>
      </c>
      <c r="F333">
        <v>492624</v>
      </c>
      <c r="G333">
        <v>0</v>
      </c>
      <c r="H333">
        <v>0</v>
      </c>
      <c r="I333" t="e">
        <f>E333/H333</f>
        <v>#DIV/0!</v>
      </c>
    </row>
    <row r="334" spans="1:9" x14ac:dyDescent="0.25">
      <c r="A334" t="s">
        <v>967</v>
      </c>
      <c r="B334" t="s">
        <v>1191</v>
      </c>
      <c r="C334">
        <v>0</v>
      </c>
      <c r="D334">
        <v>0</v>
      </c>
      <c r="E334">
        <v>105667</v>
      </c>
      <c r="F334">
        <v>111810</v>
      </c>
      <c r="G334">
        <v>0</v>
      </c>
      <c r="H334">
        <v>0</v>
      </c>
      <c r="I334" t="e">
        <f>E334/H334</f>
        <v>#DIV/0!</v>
      </c>
    </row>
    <row r="335" spans="1:9" x14ac:dyDescent="0.25">
      <c r="A335" t="s">
        <v>968</v>
      </c>
      <c r="B335" t="s">
        <v>1192</v>
      </c>
      <c r="C335">
        <v>0</v>
      </c>
      <c r="D335">
        <v>0</v>
      </c>
      <c r="E335">
        <v>1428798</v>
      </c>
      <c r="F335">
        <v>1047590</v>
      </c>
      <c r="G335">
        <v>0</v>
      </c>
      <c r="H335">
        <v>0</v>
      </c>
      <c r="I335" t="e">
        <f>E335/H335</f>
        <v>#DIV/0!</v>
      </c>
    </row>
    <row r="336" spans="1:9" x14ac:dyDescent="0.25">
      <c r="A336" t="s">
        <v>969</v>
      </c>
      <c r="B336" t="s">
        <v>1193</v>
      </c>
      <c r="C336">
        <v>0</v>
      </c>
      <c r="D336">
        <v>0</v>
      </c>
      <c r="E336">
        <v>453683</v>
      </c>
      <c r="F336">
        <v>504351</v>
      </c>
      <c r="G336">
        <v>0</v>
      </c>
      <c r="H336">
        <v>0</v>
      </c>
      <c r="I336" t="e">
        <f>E336/H336</f>
        <v>#DIV/0!</v>
      </c>
    </row>
    <row r="337" spans="1:9" x14ac:dyDescent="0.25">
      <c r="A337" t="s">
        <v>970</v>
      </c>
      <c r="B337" t="s">
        <v>1192</v>
      </c>
      <c r="C337">
        <v>0</v>
      </c>
      <c r="D337">
        <v>0</v>
      </c>
      <c r="E337">
        <v>1416511</v>
      </c>
      <c r="F337">
        <v>1029755</v>
      </c>
      <c r="G337">
        <v>0</v>
      </c>
      <c r="H337">
        <v>0</v>
      </c>
      <c r="I337" t="e">
        <f>E337/H337</f>
        <v>#DIV/0!</v>
      </c>
    </row>
    <row r="338" spans="1:9" x14ac:dyDescent="0.25">
      <c r="A338" t="s">
        <v>971</v>
      </c>
      <c r="B338" t="s">
        <v>1190</v>
      </c>
      <c r="C338">
        <v>0</v>
      </c>
      <c r="D338">
        <v>0</v>
      </c>
      <c r="E338">
        <v>397196</v>
      </c>
      <c r="F338">
        <v>437295</v>
      </c>
      <c r="G338">
        <v>0</v>
      </c>
      <c r="H338">
        <v>0</v>
      </c>
      <c r="I338" t="e">
        <f>E338/H338</f>
        <v>#DIV/0!</v>
      </c>
    </row>
    <row r="339" spans="1:9" x14ac:dyDescent="0.25">
      <c r="A339" t="s">
        <v>972</v>
      </c>
      <c r="B339" t="s">
        <v>1194</v>
      </c>
      <c r="C339">
        <v>0</v>
      </c>
      <c r="D339">
        <v>0</v>
      </c>
      <c r="E339">
        <v>433959</v>
      </c>
      <c r="F339">
        <v>0</v>
      </c>
      <c r="G339">
        <v>0</v>
      </c>
      <c r="H339">
        <v>0</v>
      </c>
      <c r="I339" t="e">
        <f>E339/H339</f>
        <v>#DIV/0!</v>
      </c>
    </row>
    <row r="340" spans="1:9" x14ac:dyDescent="0.25">
      <c r="A340" t="s">
        <v>973</v>
      </c>
      <c r="B340" t="s">
        <v>1132</v>
      </c>
      <c r="C340">
        <v>0</v>
      </c>
      <c r="D340">
        <v>0</v>
      </c>
      <c r="E340">
        <v>433959</v>
      </c>
      <c r="F340">
        <v>0</v>
      </c>
      <c r="G340">
        <v>0</v>
      </c>
      <c r="H340">
        <v>0</v>
      </c>
      <c r="I340" t="e">
        <f>E340/H340</f>
        <v>#DIV/0!</v>
      </c>
    </row>
    <row r="341" spans="1:9" x14ac:dyDescent="0.25">
      <c r="A341" t="s">
        <v>974</v>
      </c>
      <c r="B341" t="s">
        <v>1195</v>
      </c>
      <c r="C341">
        <v>0</v>
      </c>
      <c r="D341">
        <v>0</v>
      </c>
      <c r="E341">
        <v>454766</v>
      </c>
      <c r="F341">
        <v>0</v>
      </c>
      <c r="G341">
        <v>0</v>
      </c>
      <c r="H341">
        <v>0</v>
      </c>
      <c r="I341" t="e">
        <f>E341/H341</f>
        <v>#DIV/0!</v>
      </c>
    </row>
    <row r="342" spans="1:9" x14ac:dyDescent="0.25">
      <c r="A342" t="s">
        <v>975</v>
      </c>
      <c r="B342" t="s">
        <v>1196</v>
      </c>
      <c r="C342">
        <v>0</v>
      </c>
      <c r="D342">
        <v>0</v>
      </c>
      <c r="E342">
        <v>264005</v>
      </c>
      <c r="F342">
        <v>0</v>
      </c>
      <c r="G342">
        <v>0</v>
      </c>
      <c r="H342">
        <v>0</v>
      </c>
      <c r="I342" t="e">
        <f>E342/H342</f>
        <v>#DIV/0!</v>
      </c>
    </row>
    <row r="343" spans="1:9" x14ac:dyDescent="0.25">
      <c r="A343" t="s">
        <v>976</v>
      </c>
      <c r="B343" t="s">
        <v>1196</v>
      </c>
      <c r="C343">
        <v>0</v>
      </c>
      <c r="D343">
        <v>0</v>
      </c>
      <c r="E343">
        <v>264005</v>
      </c>
      <c r="F343">
        <v>0</v>
      </c>
      <c r="G343">
        <v>0</v>
      </c>
      <c r="H343">
        <v>0</v>
      </c>
      <c r="I343" t="e">
        <f>E343/H343</f>
        <v>#DIV/0!</v>
      </c>
    </row>
    <row r="344" spans="1:9" x14ac:dyDescent="0.25">
      <c r="A344" t="s">
        <v>977</v>
      </c>
      <c r="B344" t="s">
        <v>1196</v>
      </c>
      <c r="C344">
        <v>0</v>
      </c>
      <c r="D344">
        <v>0</v>
      </c>
      <c r="E344">
        <v>265154</v>
      </c>
      <c r="F344">
        <v>0</v>
      </c>
      <c r="G344">
        <v>0</v>
      </c>
      <c r="H344">
        <v>0</v>
      </c>
      <c r="I344" t="e">
        <f>E344/H344</f>
        <v>#DIV/0!</v>
      </c>
    </row>
    <row r="345" spans="1:9" x14ac:dyDescent="0.25">
      <c r="A345" t="s">
        <v>978</v>
      </c>
      <c r="B345" t="s">
        <v>1197</v>
      </c>
      <c r="C345">
        <v>0</v>
      </c>
      <c r="D345">
        <v>0</v>
      </c>
      <c r="E345">
        <v>1061093</v>
      </c>
      <c r="F345">
        <v>1058874</v>
      </c>
      <c r="G345">
        <v>0</v>
      </c>
      <c r="H345">
        <v>0</v>
      </c>
      <c r="I345" t="e">
        <f>E345/H345</f>
        <v>#DIV/0!</v>
      </c>
    </row>
    <row r="346" spans="1:9" x14ac:dyDescent="0.25">
      <c r="A346" t="s">
        <v>979</v>
      </c>
      <c r="B346" t="s">
        <v>1197</v>
      </c>
      <c r="C346">
        <v>0</v>
      </c>
      <c r="D346">
        <v>0</v>
      </c>
      <c r="E346">
        <v>1041674</v>
      </c>
      <c r="F346">
        <v>1055079</v>
      </c>
      <c r="G346">
        <v>0</v>
      </c>
      <c r="H346">
        <v>0</v>
      </c>
      <c r="I346" t="e">
        <f>E346/H346</f>
        <v>#DIV/0!</v>
      </c>
    </row>
    <row r="347" spans="1:9" x14ac:dyDescent="0.25">
      <c r="A347" t="s">
        <v>980</v>
      </c>
      <c r="B347" t="s">
        <v>1198</v>
      </c>
      <c r="C347">
        <v>0</v>
      </c>
      <c r="D347">
        <v>0</v>
      </c>
      <c r="E347">
        <v>314270</v>
      </c>
      <c r="F347">
        <v>214699</v>
      </c>
      <c r="G347">
        <v>0</v>
      </c>
      <c r="H347">
        <v>0</v>
      </c>
      <c r="I347" t="e">
        <f>E347/H347</f>
        <v>#DIV/0!</v>
      </c>
    </row>
    <row r="348" spans="1:9" x14ac:dyDescent="0.25">
      <c r="A348" t="s">
        <v>981</v>
      </c>
      <c r="B348" t="s">
        <v>1198</v>
      </c>
      <c r="C348">
        <v>0</v>
      </c>
      <c r="D348">
        <v>0</v>
      </c>
      <c r="E348">
        <v>314270</v>
      </c>
      <c r="F348">
        <v>214699</v>
      </c>
      <c r="G348">
        <v>0</v>
      </c>
      <c r="H348">
        <v>0</v>
      </c>
      <c r="I348" t="e">
        <f>E348/H348</f>
        <v>#DIV/0!</v>
      </c>
    </row>
    <row r="349" spans="1:9" x14ac:dyDescent="0.25">
      <c r="A349" t="s">
        <v>982</v>
      </c>
      <c r="B349" t="s">
        <v>1198</v>
      </c>
      <c r="C349">
        <v>0</v>
      </c>
      <c r="D349">
        <v>0</v>
      </c>
      <c r="E349">
        <v>314972</v>
      </c>
      <c r="F349">
        <v>214699</v>
      </c>
      <c r="G349">
        <v>0</v>
      </c>
      <c r="H349">
        <v>0</v>
      </c>
      <c r="I349" t="e">
        <f>E349/H349</f>
        <v>#DIV/0!</v>
      </c>
    </row>
    <row r="350" spans="1:9" x14ac:dyDescent="0.25">
      <c r="A350" t="s">
        <v>983</v>
      </c>
      <c r="B350" t="s">
        <v>1199</v>
      </c>
      <c r="C350">
        <v>0</v>
      </c>
      <c r="D350">
        <v>0</v>
      </c>
      <c r="E350">
        <v>88501</v>
      </c>
      <c r="F350">
        <v>0</v>
      </c>
      <c r="G350">
        <v>0</v>
      </c>
      <c r="H350">
        <v>0</v>
      </c>
      <c r="I350" t="e">
        <f>E350/H350</f>
        <v>#DIV/0!</v>
      </c>
    </row>
    <row r="351" spans="1:9" x14ac:dyDescent="0.25">
      <c r="A351" t="s">
        <v>984</v>
      </c>
      <c r="B351" t="s">
        <v>1200</v>
      </c>
      <c r="C351">
        <v>0</v>
      </c>
      <c r="D351">
        <v>0</v>
      </c>
      <c r="E351">
        <v>76850</v>
      </c>
      <c r="F351">
        <v>0</v>
      </c>
      <c r="G351">
        <v>0</v>
      </c>
      <c r="H351">
        <v>0</v>
      </c>
      <c r="I351" t="e">
        <f>E351/H351</f>
        <v>#DIV/0!</v>
      </c>
    </row>
    <row r="352" spans="1:9" x14ac:dyDescent="0.25">
      <c r="A352" t="s">
        <v>985</v>
      </c>
      <c r="B352" t="s">
        <v>1192</v>
      </c>
      <c r="C352">
        <v>0</v>
      </c>
      <c r="D352">
        <v>0</v>
      </c>
      <c r="E352">
        <v>1064383</v>
      </c>
      <c r="F352">
        <v>0</v>
      </c>
      <c r="G352">
        <v>0</v>
      </c>
      <c r="H352">
        <v>0</v>
      </c>
      <c r="I352" t="e">
        <f>E352/H352</f>
        <v>#DIV/0!</v>
      </c>
    </row>
    <row r="353" spans="1:9" x14ac:dyDescent="0.25">
      <c r="A353" t="s">
        <v>987</v>
      </c>
      <c r="B353" t="s">
        <v>1202</v>
      </c>
      <c r="C353">
        <v>0</v>
      </c>
      <c r="D353">
        <v>0</v>
      </c>
      <c r="E353">
        <v>324864</v>
      </c>
      <c r="F353">
        <v>0</v>
      </c>
      <c r="G353">
        <v>0</v>
      </c>
      <c r="H353">
        <v>0</v>
      </c>
      <c r="I353" t="e">
        <f>E353/H353</f>
        <v>#DIV/0!</v>
      </c>
    </row>
    <row r="354" spans="1:9" x14ac:dyDescent="0.25">
      <c r="A354" t="s">
        <v>988</v>
      </c>
      <c r="B354" t="s">
        <v>1202</v>
      </c>
      <c r="C354">
        <v>0</v>
      </c>
      <c r="D354">
        <v>0</v>
      </c>
      <c r="E354">
        <v>324864</v>
      </c>
      <c r="F354">
        <v>0</v>
      </c>
      <c r="G354">
        <v>0</v>
      </c>
      <c r="H354">
        <v>0</v>
      </c>
      <c r="I354" t="e">
        <f>E354/H354</f>
        <v>#DIV/0!</v>
      </c>
    </row>
    <row r="355" spans="1:9" x14ac:dyDescent="0.25">
      <c r="A355" t="s">
        <v>989</v>
      </c>
      <c r="B355" t="s">
        <v>1202</v>
      </c>
      <c r="C355">
        <v>0</v>
      </c>
      <c r="D355">
        <v>0</v>
      </c>
      <c r="E355">
        <v>324864</v>
      </c>
      <c r="F355">
        <v>0</v>
      </c>
      <c r="G355">
        <v>0</v>
      </c>
      <c r="H355">
        <v>0</v>
      </c>
      <c r="I355" t="e">
        <f>E355/H355</f>
        <v>#DIV/0!</v>
      </c>
    </row>
    <row r="356" spans="1:9" x14ac:dyDescent="0.25">
      <c r="A356" t="s">
        <v>990</v>
      </c>
      <c r="B356" t="s">
        <v>1203</v>
      </c>
      <c r="C356">
        <v>0</v>
      </c>
      <c r="D356">
        <v>0</v>
      </c>
      <c r="E356">
        <v>88836</v>
      </c>
      <c r="F356">
        <v>0</v>
      </c>
      <c r="G356">
        <v>0</v>
      </c>
      <c r="H356">
        <v>0</v>
      </c>
      <c r="I356" t="e">
        <f>E356/H356</f>
        <v>#DIV/0!</v>
      </c>
    </row>
    <row r="357" spans="1:9" x14ac:dyDescent="0.25">
      <c r="A357" t="s">
        <v>991</v>
      </c>
      <c r="B357" t="s">
        <v>1197</v>
      </c>
      <c r="C357">
        <v>0</v>
      </c>
      <c r="D357">
        <v>0</v>
      </c>
      <c r="E357">
        <v>857495</v>
      </c>
      <c r="F357">
        <v>764463</v>
      </c>
      <c r="G357">
        <v>0</v>
      </c>
      <c r="H357">
        <v>0</v>
      </c>
      <c r="I357" t="e">
        <f>E357/H357</f>
        <v>#DIV/0!</v>
      </c>
    </row>
    <row r="358" spans="1:9" x14ac:dyDescent="0.25">
      <c r="A358" t="s">
        <v>992</v>
      </c>
      <c r="B358" t="s">
        <v>1204</v>
      </c>
      <c r="C358">
        <v>0</v>
      </c>
      <c r="D358">
        <v>0</v>
      </c>
      <c r="E358">
        <v>295297</v>
      </c>
      <c r="F358">
        <v>355587</v>
      </c>
      <c r="G358">
        <v>0</v>
      </c>
      <c r="H358">
        <v>0</v>
      </c>
      <c r="I358" t="e">
        <f>E358/H358</f>
        <v>#DIV/0!</v>
      </c>
    </row>
    <row r="359" spans="1:9" x14ac:dyDescent="0.25">
      <c r="A359" t="s">
        <v>993</v>
      </c>
      <c r="B359" t="s">
        <v>1205</v>
      </c>
      <c r="C359">
        <v>0</v>
      </c>
      <c r="D359">
        <v>0</v>
      </c>
      <c r="E359">
        <v>272577</v>
      </c>
      <c r="F359">
        <v>349073</v>
      </c>
      <c r="G359">
        <v>0</v>
      </c>
      <c r="H359">
        <v>0</v>
      </c>
      <c r="I359" t="e">
        <f>E359/H359</f>
        <v>#DIV/0!</v>
      </c>
    </row>
    <row r="360" spans="1:9" x14ac:dyDescent="0.25">
      <c r="A360" t="s">
        <v>994</v>
      </c>
      <c r="B360" t="s">
        <v>1206</v>
      </c>
      <c r="C360">
        <v>0</v>
      </c>
      <c r="D360">
        <v>0</v>
      </c>
      <c r="E360">
        <v>146960</v>
      </c>
      <c r="F360">
        <v>0</v>
      </c>
      <c r="G360">
        <v>0</v>
      </c>
      <c r="H360">
        <v>0</v>
      </c>
      <c r="I360" t="e">
        <f>E360/H360</f>
        <v>#DIV/0!</v>
      </c>
    </row>
    <row r="361" spans="1:9" x14ac:dyDescent="0.25">
      <c r="A361" t="s">
        <v>995</v>
      </c>
      <c r="B361" t="s">
        <v>1196</v>
      </c>
      <c r="C361">
        <v>0</v>
      </c>
      <c r="D361">
        <v>0</v>
      </c>
      <c r="E361">
        <v>239993</v>
      </c>
      <c r="F361">
        <v>0</v>
      </c>
      <c r="G361">
        <v>0</v>
      </c>
      <c r="H361">
        <v>0</v>
      </c>
      <c r="I361" t="e">
        <f>E361/H361</f>
        <v>#DIV/0!</v>
      </c>
    </row>
    <row r="362" spans="1:9" x14ac:dyDescent="0.25">
      <c r="A362" t="s">
        <v>996</v>
      </c>
      <c r="B362" t="s">
        <v>1207</v>
      </c>
      <c r="C362">
        <v>0</v>
      </c>
      <c r="D362">
        <v>0</v>
      </c>
      <c r="E362">
        <v>70900</v>
      </c>
      <c r="F362">
        <v>0</v>
      </c>
      <c r="G362">
        <v>0</v>
      </c>
      <c r="H362">
        <v>0</v>
      </c>
      <c r="I362" t="e">
        <f>E362/H362</f>
        <v>#DIV/0!</v>
      </c>
    </row>
    <row r="363" spans="1:9" x14ac:dyDescent="0.25">
      <c r="A363" t="s">
        <v>997</v>
      </c>
      <c r="B363" t="s">
        <v>1208</v>
      </c>
      <c r="C363">
        <v>0</v>
      </c>
      <c r="D363">
        <v>0</v>
      </c>
      <c r="E363">
        <v>70900</v>
      </c>
      <c r="F363">
        <v>0</v>
      </c>
      <c r="G363">
        <v>0</v>
      </c>
      <c r="H363">
        <v>0</v>
      </c>
      <c r="I363" t="e">
        <f>E363/H363</f>
        <v>#DIV/0!</v>
      </c>
    </row>
    <row r="364" spans="1:9" x14ac:dyDescent="0.25">
      <c r="A364" t="s">
        <v>998</v>
      </c>
      <c r="B364" t="s">
        <v>1209</v>
      </c>
      <c r="C364">
        <v>0</v>
      </c>
      <c r="D364">
        <v>0</v>
      </c>
      <c r="E364">
        <v>45372</v>
      </c>
      <c r="F364">
        <v>0</v>
      </c>
      <c r="G364">
        <v>0</v>
      </c>
      <c r="H364">
        <v>0</v>
      </c>
      <c r="I364" t="e">
        <f>E364/H364</f>
        <v>#DIV/0!</v>
      </c>
    </row>
    <row r="365" spans="1:9" x14ac:dyDescent="0.25">
      <c r="A365" t="s">
        <v>999</v>
      </c>
      <c r="B365" t="s">
        <v>1210</v>
      </c>
      <c r="C365">
        <v>0</v>
      </c>
      <c r="D365">
        <v>0</v>
      </c>
      <c r="E365">
        <v>245954</v>
      </c>
      <c r="F365">
        <v>372533</v>
      </c>
      <c r="G365">
        <v>0</v>
      </c>
      <c r="H365">
        <v>0</v>
      </c>
      <c r="I365" t="e">
        <f>E365/H365</f>
        <v>#DIV/0!</v>
      </c>
    </row>
    <row r="366" spans="1:9" x14ac:dyDescent="0.25">
      <c r="A366" t="s">
        <v>1000</v>
      </c>
      <c r="B366" t="s">
        <v>1211</v>
      </c>
      <c r="C366">
        <v>0</v>
      </c>
      <c r="D366">
        <v>0</v>
      </c>
      <c r="E366">
        <v>400722</v>
      </c>
      <c r="F366">
        <v>0</v>
      </c>
      <c r="G366">
        <v>0</v>
      </c>
      <c r="H366">
        <v>0</v>
      </c>
      <c r="I366" t="e">
        <f>E366/H366</f>
        <v>#DIV/0!</v>
      </c>
    </row>
    <row r="367" spans="1:9" x14ac:dyDescent="0.25">
      <c r="A367" t="s">
        <v>1001</v>
      </c>
      <c r="B367" t="s">
        <v>1212</v>
      </c>
      <c r="C367">
        <v>0</v>
      </c>
      <c r="D367">
        <v>0</v>
      </c>
      <c r="E367">
        <v>400722</v>
      </c>
      <c r="F367">
        <v>0</v>
      </c>
      <c r="G367">
        <v>0</v>
      </c>
      <c r="H367">
        <v>0</v>
      </c>
      <c r="I367" t="e">
        <f>E367/H367</f>
        <v>#DIV/0!</v>
      </c>
    </row>
    <row r="368" spans="1:9" x14ac:dyDescent="0.25">
      <c r="A368" t="s">
        <v>1002</v>
      </c>
      <c r="B368" t="s">
        <v>1213</v>
      </c>
      <c r="C368">
        <v>0</v>
      </c>
      <c r="D368">
        <v>0</v>
      </c>
      <c r="E368">
        <v>407586</v>
      </c>
      <c r="F368">
        <v>0</v>
      </c>
      <c r="G368">
        <v>0</v>
      </c>
      <c r="H368">
        <v>0</v>
      </c>
      <c r="I368" t="e">
        <f>E368/H368</f>
        <v>#DIV/0!</v>
      </c>
    </row>
    <row r="369" spans="1:9" x14ac:dyDescent="0.25">
      <c r="A369" t="s">
        <v>1003</v>
      </c>
      <c r="B369" t="s">
        <v>1103</v>
      </c>
      <c r="C369">
        <v>0</v>
      </c>
      <c r="D369">
        <v>0</v>
      </c>
      <c r="E369">
        <v>15530</v>
      </c>
      <c r="F369">
        <v>0</v>
      </c>
      <c r="G369">
        <v>0</v>
      </c>
      <c r="H369">
        <v>0</v>
      </c>
      <c r="I369" t="e">
        <f>E369/H369</f>
        <v>#DIV/0!</v>
      </c>
    </row>
    <row r="370" spans="1:9" x14ac:dyDescent="0.25">
      <c r="A370" t="s">
        <v>1004</v>
      </c>
      <c r="B370" t="s">
        <v>1214</v>
      </c>
      <c r="C370">
        <v>0</v>
      </c>
      <c r="D370">
        <v>0</v>
      </c>
      <c r="E370">
        <v>52922</v>
      </c>
      <c r="F370">
        <v>0</v>
      </c>
      <c r="G370">
        <v>0</v>
      </c>
      <c r="H370">
        <v>0</v>
      </c>
      <c r="I370" t="e">
        <f>E370/H370</f>
        <v>#DIV/0!</v>
      </c>
    </row>
    <row r="371" spans="1:9" x14ac:dyDescent="0.25">
      <c r="A371" t="s">
        <v>1005</v>
      </c>
      <c r="B371" t="s">
        <v>1215</v>
      </c>
      <c r="C371">
        <v>0</v>
      </c>
      <c r="D371">
        <v>0</v>
      </c>
      <c r="E371">
        <v>336943</v>
      </c>
      <c r="F371">
        <v>0</v>
      </c>
      <c r="G371">
        <v>0</v>
      </c>
      <c r="H371">
        <v>0</v>
      </c>
      <c r="I371" t="e">
        <f>E371/H371</f>
        <v>#DIV/0!</v>
      </c>
    </row>
    <row r="372" spans="1:9" x14ac:dyDescent="0.25">
      <c r="A372" t="s">
        <v>1006</v>
      </c>
      <c r="B372" t="s">
        <v>1216</v>
      </c>
      <c r="C372">
        <v>0</v>
      </c>
      <c r="D372">
        <v>0</v>
      </c>
      <c r="E372">
        <v>24354</v>
      </c>
      <c r="F372">
        <v>0</v>
      </c>
      <c r="G372">
        <v>0</v>
      </c>
      <c r="H372">
        <v>0</v>
      </c>
      <c r="I372" t="e">
        <f>E372/H372</f>
        <v>#DIV/0!</v>
      </c>
    </row>
    <row r="373" spans="1:9" x14ac:dyDescent="0.25">
      <c r="A373" t="s">
        <v>1007</v>
      </c>
      <c r="B373" t="s">
        <v>1217</v>
      </c>
      <c r="C373">
        <v>0</v>
      </c>
      <c r="D373">
        <v>0</v>
      </c>
      <c r="E373">
        <v>69847</v>
      </c>
      <c r="F373">
        <v>0</v>
      </c>
      <c r="G373">
        <v>0</v>
      </c>
      <c r="H373">
        <v>0</v>
      </c>
      <c r="I373" t="e">
        <f>E373/H373</f>
        <v>#DIV/0!</v>
      </c>
    </row>
    <row r="374" spans="1:9" x14ac:dyDescent="0.25">
      <c r="A374" t="s">
        <v>1008</v>
      </c>
      <c r="B374" t="s">
        <v>1218</v>
      </c>
      <c r="C374">
        <v>0</v>
      </c>
      <c r="D374">
        <v>0</v>
      </c>
      <c r="E374">
        <v>334587</v>
      </c>
      <c r="F374">
        <v>0</v>
      </c>
      <c r="G374">
        <v>0</v>
      </c>
      <c r="H374">
        <v>0</v>
      </c>
      <c r="I374" t="e">
        <f>E374/H374</f>
        <v>#DIV/0!</v>
      </c>
    </row>
    <row r="375" spans="1:9" x14ac:dyDescent="0.25">
      <c r="A375" t="s">
        <v>1009</v>
      </c>
      <c r="B375" t="s">
        <v>1202</v>
      </c>
      <c r="C375">
        <v>0</v>
      </c>
      <c r="D375">
        <v>0</v>
      </c>
      <c r="E375">
        <v>296343</v>
      </c>
      <c r="F375">
        <v>0</v>
      </c>
      <c r="G375">
        <v>0</v>
      </c>
      <c r="H375">
        <v>0</v>
      </c>
      <c r="I375" t="e">
        <f>E375/H375</f>
        <v>#DIV/0!</v>
      </c>
    </row>
    <row r="376" spans="1:9" x14ac:dyDescent="0.25">
      <c r="A376" t="s">
        <v>1010</v>
      </c>
      <c r="B376" t="s">
        <v>1219</v>
      </c>
      <c r="C376">
        <v>0</v>
      </c>
      <c r="D376">
        <v>0</v>
      </c>
      <c r="E376">
        <v>300418</v>
      </c>
      <c r="F376">
        <v>8934</v>
      </c>
      <c r="G376">
        <v>0</v>
      </c>
      <c r="H376">
        <v>0</v>
      </c>
      <c r="I376" t="e">
        <f>E376/H376</f>
        <v>#DIV/0!</v>
      </c>
    </row>
    <row r="377" spans="1:9" x14ac:dyDescent="0.25">
      <c r="A377" t="s">
        <v>1011</v>
      </c>
      <c r="B377" t="s">
        <v>1220</v>
      </c>
      <c r="C377">
        <v>0</v>
      </c>
      <c r="D377">
        <v>0</v>
      </c>
      <c r="E377">
        <v>136989</v>
      </c>
      <c r="F377">
        <v>0</v>
      </c>
      <c r="G377">
        <v>0</v>
      </c>
      <c r="H377">
        <v>0</v>
      </c>
      <c r="I377" t="e">
        <f>E377/H377</f>
        <v>#DIV/0!</v>
      </c>
    </row>
    <row r="378" spans="1:9" x14ac:dyDescent="0.25">
      <c r="A378" t="s">
        <v>1012</v>
      </c>
      <c r="B378" t="s">
        <v>1220</v>
      </c>
      <c r="C378">
        <v>0</v>
      </c>
      <c r="D378">
        <v>0</v>
      </c>
      <c r="E378">
        <v>136989</v>
      </c>
      <c r="F378">
        <v>0</v>
      </c>
      <c r="G378">
        <v>0</v>
      </c>
      <c r="H378">
        <v>0</v>
      </c>
      <c r="I378" t="e">
        <f>E378/H378</f>
        <v>#DIV/0!</v>
      </c>
    </row>
    <row r="379" spans="1:9" x14ac:dyDescent="0.25">
      <c r="A379" t="s">
        <v>1013</v>
      </c>
      <c r="B379" t="s">
        <v>1220</v>
      </c>
      <c r="C379">
        <v>0</v>
      </c>
      <c r="D379">
        <v>0</v>
      </c>
      <c r="E379">
        <v>140383</v>
      </c>
      <c r="F379">
        <v>0</v>
      </c>
      <c r="G379">
        <v>0</v>
      </c>
      <c r="H379">
        <v>0</v>
      </c>
      <c r="I379" t="e">
        <f>E379/H379</f>
        <v>#DIV/0!</v>
      </c>
    </row>
    <row r="380" spans="1:9" x14ac:dyDescent="0.25">
      <c r="A380" t="s">
        <v>1014</v>
      </c>
      <c r="B380" t="s">
        <v>1103</v>
      </c>
      <c r="C380">
        <v>0</v>
      </c>
      <c r="D380">
        <v>0</v>
      </c>
      <c r="E380">
        <v>82812</v>
      </c>
      <c r="F380">
        <v>0</v>
      </c>
      <c r="G380">
        <v>0</v>
      </c>
      <c r="H380">
        <v>0</v>
      </c>
      <c r="I380" t="e">
        <f>E380/H380</f>
        <v>#DIV/0!</v>
      </c>
    </row>
    <row r="381" spans="1:9" x14ac:dyDescent="0.25">
      <c r="A381" t="s">
        <v>1015</v>
      </c>
      <c r="B381" t="s">
        <v>1221</v>
      </c>
      <c r="C381">
        <v>0</v>
      </c>
      <c r="D381">
        <v>0</v>
      </c>
      <c r="E381">
        <v>81924</v>
      </c>
      <c r="F381">
        <v>0</v>
      </c>
      <c r="G381">
        <v>0</v>
      </c>
      <c r="H381">
        <v>0</v>
      </c>
      <c r="I381" t="e">
        <f>E381/H381</f>
        <v>#DIV/0!</v>
      </c>
    </row>
    <row r="382" spans="1:9" x14ac:dyDescent="0.25">
      <c r="A382" t="s">
        <v>1016</v>
      </c>
      <c r="B382" t="s">
        <v>1222</v>
      </c>
      <c r="C382">
        <v>0</v>
      </c>
      <c r="D382">
        <v>0</v>
      </c>
      <c r="E382">
        <v>68874</v>
      </c>
      <c r="F382">
        <v>0</v>
      </c>
      <c r="G382">
        <v>0</v>
      </c>
      <c r="H382">
        <v>0</v>
      </c>
      <c r="I382" t="e">
        <f>E382/H382</f>
        <v>#DIV/0!</v>
      </c>
    </row>
    <row r="383" spans="1:9" x14ac:dyDescent="0.25">
      <c r="A383" t="s">
        <v>1017</v>
      </c>
      <c r="B383" t="s">
        <v>1223</v>
      </c>
      <c r="C383">
        <v>0</v>
      </c>
      <c r="D383">
        <v>0</v>
      </c>
      <c r="E383">
        <v>149584</v>
      </c>
      <c r="F383">
        <v>0</v>
      </c>
      <c r="G383">
        <v>0</v>
      </c>
      <c r="H383">
        <v>0</v>
      </c>
      <c r="I383" t="e">
        <f>E383/H383</f>
        <v>#DIV/0!</v>
      </c>
    </row>
    <row r="384" spans="1:9" x14ac:dyDescent="0.25">
      <c r="A384" t="s">
        <v>1018</v>
      </c>
      <c r="B384" t="s">
        <v>1224</v>
      </c>
      <c r="C384">
        <v>0</v>
      </c>
      <c r="D384">
        <v>0</v>
      </c>
      <c r="E384">
        <v>149584</v>
      </c>
      <c r="F384">
        <v>0</v>
      </c>
      <c r="G384">
        <v>0</v>
      </c>
      <c r="H384">
        <v>0</v>
      </c>
      <c r="I384" t="e">
        <f>E384/H384</f>
        <v>#DIV/0!</v>
      </c>
    </row>
    <row r="385" spans="1:9" x14ac:dyDescent="0.25">
      <c r="A385" t="s">
        <v>1019</v>
      </c>
      <c r="B385" t="s">
        <v>1225</v>
      </c>
      <c r="C385">
        <v>0</v>
      </c>
      <c r="D385">
        <v>0</v>
      </c>
      <c r="E385">
        <v>325041</v>
      </c>
      <c r="F385">
        <v>0</v>
      </c>
      <c r="G385">
        <v>0</v>
      </c>
      <c r="H385">
        <v>0</v>
      </c>
      <c r="I385" t="e">
        <f>E385/H385</f>
        <v>#DIV/0!</v>
      </c>
    </row>
    <row r="386" spans="1:9" x14ac:dyDescent="0.25">
      <c r="A386" t="s">
        <v>1020</v>
      </c>
      <c r="B386" t="s">
        <v>1226</v>
      </c>
      <c r="C386">
        <v>0</v>
      </c>
      <c r="D386">
        <v>0</v>
      </c>
      <c r="E386">
        <v>240101</v>
      </c>
      <c r="F386">
        <v>136925</v>
      </c>
      <c r="G386">
        <v>0</v>
      </c>
      <c r="H386">
        <v>0</v>
      </c>
      <c r="I386" t="e">
        <f>E386/H386</f>
        <v>#DIV/0!</v>
      </c>
    </row>
    <row r="387" spans="1:9" x14ac:dyDescent="0.25">
      <c r="A387" t="s">
        <v>1021</v>
      </c>
      <c r="B387" t="s">
        <v>1226</v>
      </c>
      <c r="C387">
        <v>0</v>
      </c>
      <c r="D387">
        <v>0</v>
      </c>
      <c r="E387">
        <v>240101</v>
      </c>
      <c r="F387">
        <v>136925</v>
      </c>
      <c r="G387">
        <v>0</v>
      </c>
      <c r="H387">
        <v>0</v>
      </c>
      <c r="I387" t="e">
        <f>E387/H387</f>
        <v>#DIV/0!</v>
      </c>
    </row>
    <row r="388" spans="1:9" x14ac:dyDescent="0.25">
      <c r="A388" t="s">
        <v>1022</v>
      </c>
      <c r="B388" t="s">
        <v>1226</v>
      </c>
      <c r="C388">
        <v>0</v>
      </c>
      <c r="D388">
        <v>0</v>
      </c>
      <c r="E388">
        <v>240101</v>
      </c>
      <c r="F388">
        <v>136925</v>
      </c>
      <c r="G388">
        <v>0</v>
      </c>
      <c r="H388">
        <v>0</v>
      </c>
      <c r="I388" t="e">
        <f>E388/H388</f>
        <v>#DIV/0!</v>
      </c>
    </row>
    <row r="389" spans="1:9" x14ac:dyDescent="0.25">
      <c r="A389" t="s">
        <v>1023</v>
      </c>
      <c r="B389" t="s">
        <v>1227</v>
      </c>
      <c r="C389">
        <v>0</v>
      </c>
      <c r="D389">
        <v>0</v>
      </c>
      <c r="E389">
        <v>0</v>
      </c>
      <c r="F389">
        <v>369029</v>
      </c>
      <c r="G389">
        <v>0</v>
      </c>
      <c r="H389">
        <v>0</v>
      </c>
      <c r="I389" t="e">
        <f>E389/H389</f>
        <v>#DIV/0!</v>
      </c>
    </row>
    <row r="390" spans="1:9" x14ac:dyDescent="0.25">
      <c r="A390" t="s">
        <v>1024</v>
      </c>
      <c r="B390" t="s">
        <v>1119</v>
      </c>
      <c r="C390">
        <v>0</v>
      </c>
      <c r="D390">
        <v>0</v>
      </c>
      <c r="E390">
        <v>0</v>
      </c>
      <c r="F390">
        <v>402615</v>
      </c>
      <c r="G390">
        <v>0</v>
      </c>
      <c r="H390">
        <v>0</v>
      </c>
      <c r="I390" t="e">
        <f>E390/H390</f>
        <v>#DIV/0!</v>
      </c>
    </row>
    <row r="391" spans="1:9" x14ac:dyDescent="0.25">
      <c r="A391" t="s">
        <v>1025</v>
      </c>
      <c r="B391" t="s">
        <v>1228</v>
      </c>
      <c r="C391">
        <v>0</v>
      </c>
      <c r="D391">
        <v>0</v>
      </c>
      <c r="E391">
        <v>0</v>
      </c>
      <c r="F391">
        <v>228675</v>
      </c>
      <c r="G391">
        <v>0</v>
      </c>
      <c r="H391">
        <v>0</v>
      </c>
      <c r="I391" t="e">
        <f>E391/H391</f>
        <v>#DIV/0!</v>
      </c>
    </row>
    <row r="392" spans="1:9" x14ac:dyDescent="0.25">
      <c r="A392" t="s">
        <v>1026</v>
      </c>
      <c r="B392" t="s">
        <v>1229</v>
      </c>
      <c r="C392">
        <v>0</v>
      </c>
      <c r="D392">
        <v>0</v>
      </c>
      <c r="E392">
        <v>0</v>
      </c>
      <c r="F392">
        <v>228675</v>
      </c>
      <c r="G392">
        <v>0</v>
      </c>
      <c r="H392">
        <v>0</v>
      </c>
      <c r="I392" t="e">
        <f>E392/H392</f>
        <v>#DIV/0!</v>
      </c>
    </row>
    <row r="393" spans="1:9" x14ac:dyDescent="0.25">
      <c r="A393" t="s">
        <v>1027</v>
      </c>
      <c r="B393" t="s">
        <v>1230</v>
      </c>
      <c r="C393">
        <v>0</v>
      </c>
      <c r="D393">
        <v>0</v>
      </c>
      <c r="E393">
        <v>0</v>
      </c>
      <c r="F393">
        <v>423987</v>
      </c>
      <c r="G393">
        <v>0</v>
      </c>
      <c r="H393">
        <v>0</v>
      </c>
      <c r="I393" t="e">
        <f>E393/H393</f>
        <v>#DIV/0!</v>
      </c>
    </row>
    <row r="394" spans="1:9" x14ac:dyDescent="0.25">
      <c r="A394" t="s">
        <v>1028</v>
      </c>
      <c r="B394" t="s">
        <v>1231</v>
      </c>
      <c r="C394">
        <v>0</v>
      </c>
      <c r="D394">
        <v>0</v>
      </c>
      <c r="E394">
        <v>0</v>
      </c>
      <c r="F394">
        <v>257227</v>
      </c>
      <c r="G394">
        <v>0</v>
      </c>
      <c r="H394">
        <v>0</v>
      </c>
      <c r="I394" t="e">
        <f>E394/H394</f>
        <v>#DIV/0!</v>
      </c>
    </row>
    <row r="395" spans="1:9" x14ac:dyDescent="0.25">
      <c r="A395" t="s">
        <v>1029</v>
      </c>
      <c r="B395" t="s">
        <v>1231</v>
      </c>
      <c r="C395">
        <v>0</v>
      </c>
      <c r="D395">
        <v>0</v>
      </c>
      <c r="E395">
        <v>0</v>
      </c>
      <c r="F395">
        <v>261583</v>
      </c>
      <c r="G395">
        <v>0</v>
      </c>
      <c r="H395">
        <v>0</v>
      </c>
      <c r="I395" t="e">
        <f>E395/H395</f>
        <v>#DIV/0!</v>
      </c>
    </row>
    <row r="396" spans="1:9" x14ac:dyDescent="0.25">
      <c r="A396" t="s">
        <v>1030</v>
      </c>
      <c r="B396" t="s">
        <v>1190</v>
      </c>
      <c r="C396">
        <v>0</v>
      </c>
      <c r="D396">
        <v>0</v>
      </c>
      <c r="E396">
        <v>0</v>
      </c>
      <c r="F396">
        <v>300046</v>
      </c>
      <c r="G396">
        <v>0</v>
      </c>
      <c r="H396">
        <v>0</v>
      </c>
      <c r="I396" t="e">
        <f>E396/H396</f>
        <v>#DIV/0!</v>
      </c>
    </row>
    <row r="397" spans="1:9" x14ac:dyDescent="0.25">
      <c r="A397" t="s">
        <v>1031</v>
      </c>
      <c r="B397" t="s">
        <v>1190</v>
      </c>
      <c r="C397">
        <v>0</v>
      </c>
      <c r="D397">
        <v>0</v>
      </c>
      <c r="E397">
        <v>0</v>
      </c>
      <c r="F397">
        <v>300046</v>
      </c>
      <c r="G397">
        <v>0</v>
      </c>
      <c r="H397">
        <v>0</v>
      </c>
      <c r="I397" t="e">
        <f>E397/H397</f>
        <v>#DIV/0!</v>
      </c>
    </row>
    <row r="398" spans="1:9" x14ac:dyDescent="0.25">
      <c r="A398" t="s">
        <v>1032</v>
      </c>
      <c r="B398" t="s">
        <v>1232</v>
      </c>
      <c r="C398">
        <v>0</v>
      </c>
      <c r="D398">
        <v>0</v>
      </c>
      <c r="E398">
        <v>0</v>
      </c>
      <c r="F398">
        <v>253268</v>
      </c>
      <c r="G398">
        <v>0</v>
      </c>
      <c r="H398">
        <v>0</v>
      </c>
      <c r="I398" t="e">
        <f>E398/H398</f>
        <v>#DIV/0!</v>
      </c>
    </row>
    <row r="399" spans="1:9" x14ac:dyDescent="0.25">
      <c r="A399" t="s">
        <v>1033</v>
      </c>
      <c r="B399" t="s">
        <v>1233</v>
      </c>
      <c r="C399">
        <v>0</v>
      </c>
      <c r="D399">
        <v>0</v>
      </c>
      <c r="E399">
        <v>0</v>
      </c>
      <c r="F399">
        <v>309673</v>
      </c>
      <c r="G399">
        <v>0</v>
      </c>
      <c r="H399">
        <v>0</v>
      </c>
      <c r="I399" t="e">
        <f>E399/H399</f>
        <v>#DIV/0!</v>
      </c>
    </row>
    <row r="400" spans="1:9" x14ac:dyDescent="0.25">
      <c r="A400" t="s">
        <v>1034</v>
      </c>
      <c r="B400" t="s">
        <v>1234</v>
      </c>
      <c r="C400">
        <v>0</v>
      </c>
      <c r="D400">
        <v>0</v>
      </c>
      <c r="E400">
        <v>0</v>
      </c>
      <c r="F400">
        <v>49202</v>
      </c>
      <c r="G400">
        <v>0</v>
      </c>
      <c r="H400">
        <v>0</v>
      </c>
      <c r="I400" t="e">
        <f>E400/H400</f>
        <v>#DIV/0!</v>
      </c>
    </row>
    <row r="401" spans="1:9" x14ac:dyDescent="0.25">
      <c r="A401" t="s">
        <v>1035</v>
      </c>
      <c r="B401" t="s">
        <v>1235</v>
      </c>
      <c r="C401">
        <v>0</v>
      </c>
      <c r="D401">
        <v>0</v>
      </c>
      <c r="E401">
        <v>0</v>
      </c>
      <c r="F401">
        <v>41147</v>
      </c>
      <c r="G401">
        <v>0</v>
      </c>
      <c r="H401">
        <v>0</v>
      </c>
      <c r="I401" t="e">
        <f>E401/H401</f>
        <v>#DIV/0!</v>
      </c>
    </row>
    <row r="402" spans="1:9" x14ac:dyDescent="0.25">
      <c r="A402" t="s">
        <v>1036</v>
      </c>
      <c r="B402" t="s">
        <v>1235</v>
      </c>
      <c r="C402">
        <v>0</v>
      </c>
      <c r="D402">
        <v>0</v>
      </c>
      <c r="E402">
        <v>0</v>
      </c>
      <c r="F402">
        <v>216644</v>
      </c>
      <c r="G402">
        <v>0</v>
      </c>
      <c r="H402">
        <v>0</v>
      </c>
      <c r="I402" t="e">
        <f>E402/H402</f>
        <v>#DIV/0!</v>
      </c>
    </row>
    <row r="403" spans="1:9" x14ac:dyDescent="0.25">
      <c r="A403" t="s">
        <v>1037</v>
      </c>
      <c r="B403" t="s">
        <v>1236</v>
      </c>
      <c r="C403">
        <v>0</v>
      </c>
      <c r="D403">
        <v>0</v>
      </c>
      <c r="E403">
        <v>0</v>
      </c>
      <c r="F403">
        <v>101937</v>
      </c>
      <c r="G403">
        <v>0</v>
      </c>
      <c r="H403">
        <v>0</v>
      </c>
      <c r="I403" t="e">
        <f>E403/H403</f>
        <v>#DIV/0!</v>
      </c>
    </row>
    <row r="404" spans="1:9" x14ac:dyDescent="0.25">
      <c r="A404" t="s">
        <v>1038</v>
      </c>
      <c r="B404" t="s">
        <v>1236</v>
      </c>
      <c r="C404">
        <v>0</v>
      </c>
      <c r="D404">
        <v>0</v>
      </c>
      <c r="E404">
        <v>0</v>
      </c>
      <c r="F404">
        <v>96887</v>
      </c>
      <c r="G404">
        <v>0</v>
      </c>
      <c r="H404">
        <v>0</v>
      </c>
      <c r="I404" t="e">
        <f>E404/H404</f>
        <v>#DIV/0!</v>
      </c>
    </row>
    <row r="405" spans="1:9" x14ac:dyDescent="0.25">
      <c r="A405" t="s">
        <v>1039</v>
      </c>
      <c r="B405" t="s">
        <v>1236</v>
      </c>
      <c r="C405">
        <v>0</v>
      </c>
      <c r="D405">
        <v>0</v>
      </c>
      <c r="E405">
        <v>0</v>
      </c>
      <c r="F405">
        <v>96887</v>
      </c>
      <c r="G405">
        <v>0</v>
      </c>
      <c r="H405">
        <v>0</v>
      </c>
      <c r="I405" t="e">
        <f>E405/H405</f>
        <v>#DIV/0!</v>
      </c>
    </row>
    <row r="406" spans="1:9" x14ac:dyDescent="0.25">
      <c r="A406" t="s">
        <v>1040</v>
      </c>
      <c r="B406" t="s">
        <v>1237</v>
      </c>
      <c r="C406">
        <v>0</v>
      </c>
      <c r="D406">
        <v>0</v>
      </c>
      <c r="E406">
        <v>0</v>
      </c>
      <c r="F406">
        <v>11938</v>
      </c>
      <c r="G406">
        <v>0</v>
      </c>
      <c r="H406">
        <v>0</v>
      </c>
      <c r="I406" t="e">
        <f>E406/H406</f>
        <v>#DIV/0!</v>
      </c>
    </row>
    <row r="407" spans="1:9" x14ac:dyDescent="0.25">
      <c r="A407" t="s">
        <v>1041</v>
      </c>
      <c r="B407" t="s">
        <v>1238</v>
      </c>
      <c r="C407">
        <v>0</v>
      </c>
      <c r="D407">
        <v>0</v>
      </c>
      <c r="E407">
        <v>0</v>
      </c>
      <c r="F407">
        <v>11938</v>
      </c>
      <c r="G407">
        <v>0</v>
      </c>
      <c r="H407">
        <v>0</v>
      </c>
      <c r="I407" t="e">
        <f>E407/H407</f>
        <v>#DIV/0!</v>
      </c>
    </row>
    <row r="408" spans="1:9" x14ac:dyDescent="0.25">
      <c r="A408" t="s">
        <v>1042</v>
      </c>
      <c r="B408" t="s">
        <v>1234</v>
      </c>
      <c r="C408">
        <v>0</v>
      </c>
      <c r="D408">
        <v>0</v>
      </c>
      <c r="E408">
        <v>0</v>
      </c>
      <c r="F408">
        <v>46431</v>
      </c>
      <c r="G408">
        <v>0</v>
      </c>
      <c r="H408">
        <v>0</v>
      </c>
      <c r="I408" t="e">
        <f>E408/H408</f>
        <v>#DIV/0!</v>
      </c>
    </row>
    <row r="409" spans="1:9" x14ac:dyDescent="0.25">
      <c r="A409" t="s">
        <v>1043</v>
      </c>
      <c r="B409" t="s">
        <v>1239</v>
      </c>
      <c r="C409">
        <v>0</v>
      </c>
      <c r="D409">
        <v>0</v>
      </c>
      <c r="E409">
        <v>0</v>
      </c>
      <c r="F409">
        <v>116669</v>
      </c>
      <c r="G409">
        <v>0</v>
      </c>
      <c r="H409">
        <v>0</v>
      </c>
      <c r="I409" t="e">
        <f>E409/H409</f>
        <v>#DIV/0!</v>
      </c>
    </row>
    <row r="410" spans="1:9" x14ac:dyDescent="0.25">
      <c r="A410" t="s">
        <v>1044</v>
      </c>
      <c r="B410" t="s">
        <v>1240</v>
      </c>
      <c r="C410">
        <v>0</v>
      </c>
      <c r="D410">
        <v>0</v>
      </c>
      <c r="E410">
        <v>0</v>
      </c>
      <c r="F410">
        <v>116669</v>
      </c>
      <c r="G410">
        <v>0</v>
      </c>
      <c r="H410">
        <v>0</v>
      </c>
      <c r="I410" t="e">
        <f>E410/H410</f>
        <v>#DIV/0!</v>
      </c>
    </row>
    <row r="411" spans="1:9" x14ac:dyDescent="0.25">
      <c r="A411" t="s">
        <v>1045</v>
      </c>
      <c r="B411" t="s">
        <v>1241</v>
      </c>
      <c r="C411">
        <v>0</v>
      </c>
      <c r="D411">
        <v>0</v>
      </c>
      <c r="E411">
        <v>0</v>
      </c>
      <c r="F411">
        <v>109674</v>
      </c>
      <c r="G411">
        <v>0</v>
      </c>
      <c r="H411">
        <v>0</v>
      </c>
      <c r="I411" t="e">
        <f>E411/H411</f>
        <v>#DIV/0!</v>
      </c>
    </row>
    <row r="412" spans="1:9" x14ac:dyDescent="0.25">
      <c r="A412" t="s">
        <v>1046</v>
      </c>
      <c r="B412" t="s">
        <v>1242</v>
      </c>
      <c r="C412">
        <v>0</v>
      </c>
      <c r="D412">
        <v>0</v>
      </c>
      <c r="E412">
        <v>0</v>
      </c>
      <c r="F412">
        <v>122498</v>
      </c>
      <c r="G412">
        <v>0</v>
      </c>
      <c r="H412">
        <v>0</v>
      </c>
      <c r="I412" t="e">
        <f>E412/H412</f>
        <v>#DIV/0!</v>
      </c>
    </row>
    <row r="413" spans="1:9" x14ac:dyDescent="0.25">
      <c r="A413" t="s">
        <v>1047</v>
      </c>
      <c r="B413" t="s">
        <v>1243</v>
      </c>
      <c r="C413">
        <v>0</v>
      </c>
      <c r="D413">
        <v>0</v>
      </c>
      <c r="E413">
        <v>0</v>
      </c>
      <c r="F413">
        <v>238624</v>
      </c>
      <c r="G413">
        <v>0</v>
      </c>
      <c r="H413">
        <v>0</v>
      </c>
      <c r="I413" t="e">
        <f>E413/H413</f>
        <v>#DIV/0!</v>
      </c>
    </row>
    <row r="414" spans="1:9" x14ac:dyDescent="0.25">
      <c r="A414" t="s">
        <v>1048</v>
      </c>
      <c r="B414" t="s">
        <v>1244</v>
      </c>
      <c r="C414">
        <v>0</v>
      </c>
      <c r="D414">
        <v>0</v>
      </c>
      <c r="E414">
        <v>0</v>
      </c>
      <c r="F414">
        <v>39678</v>
      </c>
      <c r="G414">
        <v>0</v>
      </c>
      <c r="H414">
        <v>0</v>
      </c>
      <c r="I414" t="e">
        <f>E414/H414</f>
        <v>#DIV/0!</v>
      </c>
    </row>
    <row r="415" spans="1:9" x14ac:dyDescent="0.25">
      <c r="A415" t="s">
        <v>1049</v>
      </c>
      <c r="B415" t="s">
        <v>1245</v>
      </c>
      <c r="C415">
        <v>0</v>
      </c>
      <c r="D415">
        <v>0</v>
      </c>
      <c r="E415">
        <v>0</v>
      </c>
      <c r="F415">
        <v>0</v>
      </c>
      <c r="G415">
        <v>134838</v>
      </c>
      <c r="H415">
        <v>0</v>
      </c>
      <c r="I415" t="e">
        <f>E415/H415</f>
        <v>#DIV/0!</v>
      </c>
    </row>
    <row r="416" spans="1:9" x14ac:dyDescent="0.25">
      <c r="A416" t="s">
        <v>1051</v>
      </c>
      <c r="B416" t="s">
        <v>1247</v>
      </c>
      <c r="C416">
        <v>0</v>
      </c>
      <c r="D416">
        <v>0</v>
      </c>
      <c r="E416">
        <v>0</v>
      </c>
      <c r="F416">
        <v>0</v>
      </c>
      <c r="G416">
        <v>94215</v>
      </c>
      <c r="H416">
        <v>0</v>
      </c>
      <c r="I416" t="e">
        <f>E416/H416</f>
        <v>#DIV/0!</v>
      </c>
    </row>
    <row r="417" spans="1:9" x14ac:dyDescent="0.25">
      <c r="A417" t="s">
        <v>1052</v>
      </c>
      <c r="B417" t="s">
        <v>1247</v>
      </c>
      <c r="C417">
        <v>0</v>
      </c>
      <c r="D417">
        <v>0</v>
      </c>
      <c r="E417">
        <v>0</v>
      </c>
      <c r="F417">
        <v>0</v>
      </c>
      <c r="G417">
        <v>94215</v>
      </c>
      <c r="H417">
        <v>0</v>
      </c>
      <c r="I417" t="e">
        <f>E417/H417</f>
        <v>#DIV/0!</v>
      </c>
    </row>
    <row r="418" spans="1:9" x14ac:dyDescent="0.25">
      <c r="A418" t="s">
        <v>1053</v>
      </c>
      <c r="B418" t="s">
        <v>1248</v>
      </c>
      <c r="C418">
        <v>0</v>
      </c>
      <c r="D418">
        <v>0</v>
      </c>
      <c r="E418">
        <v>0</v>
      </c>
      <c r="F418">
        <v>0</v>
      </c>
      <c r="G418">
        <v>357920</v>
      </c>
      <c r="H418">
        <v>0</v>
      </c>
      <c r="I418" t="e">
        <f>E418/H418</f>
        <v>#DIV/0!</v>
      </c>
    </row>
    <row r="419" spans="1:9" x14ac:dyDescent="0.25">
      <c r="A419" t="s">
        <v>1054</v>
      </c>
      <c r="B419" t="s">
        <v>1249</v>
      </c>
      <c r="C419">
        <v>0</v>
      </c>
      <c r="D419">
        <v>0</v>
      </c>
      <c r="E419">
        <v>0</v>
      </c>
      <c r="F419">
        <v>0</v>
      </c>
      <c r="G419">
        <v>23315</v>
      </c>
      <c r="H419">
        <v>0</v>
      </c>
      <c r="I419" t="e">
        <f>E419/H419</f>
        <v>#DIV/0!</v>
      </c>
    </row>
    <row r="420" spans="1:9" x14ac:dyDescent="0.25">
      <c r="A420" t="s">
        <v>1055</v>
      </c>
      <c r="B420" t="s">
        <v>1250</v>
      </c>
      <c r="C420">
        <v>0</v>
      </c>
      <c r="D420">
        <v>0</v>
      </c>
      <c r="E420">
        <v>0</v>
      </c>
      <c r="F420">
        <v>0</v>
      </c>
      <c r="G420">
        <v>134869</v>
      </c>
      <c r="H420">
        <v>0</v>
      </c>
      <c r="I420" t="e">
        <f>E420/H420</f>
        <v>#DIV/0!</v>
      </c>
    </row>
    <row r="421" spans="1:9" x14ac:dyDescent="0.25">
      <c r="A421" t="s">
        <v>1056</v>
      </c>
      <c r="B421" t="s">
        <v>1250</v>
      </c>
      <c r="C421">
        <v>0</v>
      </c>
      <c r="D421">
        <v>0</v>
      </c>
      <c r="E421">
        <v>0</v>
      </c>
      <c r="F421">
        <v>0</v>
      </c>
      <c r="G421">
        <v>133729</v>
      </c>
      <c r="H421">
        <v>0</v>
      </c>
      <c r="I421" t="e">
        <f>E421/H421</f>
        <v>#DIV/0!</v>
      </c>
    </row>
    <row r="422" spans="1:9" x14ac:dyDescent="0.25">
      <c r="A422" t="s">
        <v>1057</v>
      </c>
      <c r="B422" t="s">
        <v>1250</v>
      </c>
      <c r="C422">
        <v>0</v>
      </c>
      <c r="D422">
        <v>0</v>
      </c>
      <c r="E422">
        <v>0</v>
      </c>
      <c r="F422">
        <v>0</v>
      </c>
      <c r="G422">
        <v>32339</v>
      </c>
      <c r="H422">
        <v>0</v>
      </c>
      <c r="I422" t="e">
        <f>E422/H422</f>
        <v>#DIV/0!</v>
      </c>
    </row>
    <row r="423" spans="1:9" x14ac:dyDescent="0.25">
      <c r="A423" t="s">
        <v>1058</v>
      </c>
      <c r="B423" t="s">
        <v>1251</v>
      </c>
      <c r="C423">
        <v>0</v>
      </c>
      <c r="D423">
        <v>0</v>
      </c>
      <c r="E423">
        <v>0</v>
      </c>
      <c r="F423">
        <v>0</v>
      </c>
      <c r="G423">
        <v>89280</v>
      </c>
      <c r="H423">
        <v>0</v>
      </c>
      <c r="I423" t="e">
        <f>E423/H423</f>
        <v>#DIV/0!</v>
      </c>
    </row>
    <row r="424" spans="1:9" x14ac:dyDescent="0.25">
      <c r="A424" t="s">
        <v>1059</v>
      </c>
      <c r="B424" t="s">
        <v>1251</v>
      </c>
      <c r="C424">
        <v>0</v>
      </c>
      <c r="D424">
        <v>0</v>
      </c>
      <c r="E424">
        <v>0</v>
      </c>
      <c r="F424">
        <v>0</v>
      </c>
      <c r="G424">
        <v>76548</v>
      </c>
      <c r="H424">
        <v>0</v>
      </c>
      <c r="I424" t="e">
        <f>E424/H424</f>
        <v>#DIV/0!</v>
      </c>
    </row>
    <row r="425" spans="1:9" x14ac:dyDescent="0.25">
      <c r="A425" t="s">
        <v>51</v>
      </c>
      <c r="B425" t="s">
        <v>52</v>
      </c>
      <c r="C425">
        <v>177581</v>
      </c>
      <c r="D425">
        <v>0</v>
      </c>
      <c r="E425">
        <v>2119816</v>
      </c>
      <c r="F425">
        <v>1905280</v>
      </c>
      <c r="G425">
        <v>0</v>
      </c>
      <c r="H425">
        <v>114031</v>
      </c>
      <c r="I425">
        <f>E425/H425</f>
        <v>18.58982206592944</v>
      </c>
    </row>
    <row r="426" spans="1:9" x14ac:dyDescent="0.25">
      <c r="A426" t="s">
        <v>362</v>
      </c>
      <c r="B426" t="s">
        <v>363</v>
      </c>
      <c r="C426">
        <v>448505</v>
      </c>
      <c r="D426">
        <v>0</v>
      </c>
      <c r="E426">
        <v>2448480</v>
      </c>
      <c r="F426">
        <v>2181848</v>
      </c>
      <c r="G426">
        <v>231259</v>
      </c>
      <c r="H426">
        <v>169973</v>
      </c>
      <c r="I426">
        <f>E426/H426</f>
        <v>14.40511140004589</v>
      </c>
    </row>
    <row r="427" spans="1:9" x14ac:dyDescent="0.25">
      <c r="A427" t="s">
        <v>358</v>
      </c>
      <c r="B427" t="s">
        <v>359</v>
      </c>
      <c r="C427">
        <v>403917</v>
      </c>
      <c r="D427">
        <v>0</v>
      </c>
      <c r="E427">
        <v>2124924</v>
      </c>
      <c r="F427">
        <v>1866184</v>
      </c>
      <c r="G427">
        <v>224711</v>
      </c>
      <c r="H427">
        <v>160867</v>
      </c>
      <c r="I427">
        <f>E427/H427</f>
        <v>13.209197660178905</v>
      </c>
    </row>
    <row r="428" spans="1:9" x14ac:dyDescent="0.25">
      <c r="A428" t="s">
        <v>360</v>
      </c>
      <c r="B428" t="s">
        <v>361</v>
      </c>
      <c r="C428">
        <v>403917</v>
      </c>
      <c r="D428">
        <v>0</v>
      </c>
      <c r="E428">
        <v>2124924</v>
      </c>
      <c r="F428">
        <v>1866184</v>
      </c>
      <c r="G428">
        <v>224711</v>
      </c>
      <c r="H428">
        <v>160867</v>
      </c>
      <c r="I428">
        <f>E428/H428</f>
        <v>13.209197660178905</v>
      </c>
    </row>
    <row r="429" spans="1:9" x14ac:dyDescent="0.25">
      <c r="A429" t="s">
        <v>39</v>
      </c>
      <c r="B429" t="s">
        <v>40</v>
      </c>
      <c r="C429">
        <v>267064</v>
      </c>
      <c r="D429">
        <v>0</v>
      </c>
      <c r="E429">
        <v>2331839</v>
      </c>
      <c r="F429">
        <v>2159066</v>
      </c>
      <c r="G429">
        <v>0</v>
      </c>
      <c r="H429">
        <v>177086</v>
      </c>
      <c r="I429">
        <f>E429/H429</f>
        <v>13.167833707915928</v>
      </c>
    </row>
    <row r="430" spans="1:9" x14ac:dyDescent="0.25">
      <c r="A430" t="s">
        <v>262</v>
      </c>
      <c r="B430" t="s">
        <v>263</v>
      </c>
      <c r="C430">
        <v>810318</v>
      </c>
      <c r="D430">
        <v>0</v>
      </c>
      <c r="E430">
        <v>2738431</v>
      </c>
      <c r="F430">
        <v>2897335</v>
      </c>
      <c r="G430">
        <v>0</v>
      </c>
      <c r="H430">
        <v>219582</v>
      </c>
      <c r="I430">
        <f>E430/H430</f>
        <v>12.471108742975289</v>
      </c>
    </row>
    <row r="431" spans="1:9" x14ac:dyDescent="0.25">
      <c r="A431" t="s">
        <v>141</v>
      </c>
      <c r="B431" t="s">
        <v>142</v>
      </c>
      <c r="C431">
        <v>803777</v>
      </c>
      <c r="D431">
        <v>0</v>
      </c>
      <c r="E431">
        <v>2943982</v>
      </c>
      <c r="F431">
        <v>3603204</v>
      </c>
      <c r="G431">
        <v>0</v>
      </c>
      <c r="H431">
        <v>244370</v>
      </c>
      <c r="I431">
        <f>E431/H431</f>
        <v>12.047231656913697</v>
      </c>
    </row>
    <row r="432" spans="1:9" x14ac:dyDescent="0.25">
      <c r="A432" t="s">
        <v>41</v>
      </c>
      <c r="B432" t="s">
        <v>42</v>
      </c>
      <c r="C432">
        <v>300914</v>
      </c>
      <c r="D432">
        <v>0</v>
      </c>
      <c r="E432">
        <v>2340966</v>
      </c>
      <c r="F432">
        <v>2159066</v>
      </c>
      <c r="G432">
        <v>0</v>
      </c>
      <c r="H432">
        <v>195292</v>
      </c>
      <c r="I432">
        <f>E432/H432</f>
        <v>11.987004075947812</v>
      </c>
    </row>
    <row r="433" spans="1:9" x14ac:dyDescent="0.25">
      <c r="A433" t="s">
        <v>139</v>
      </c>
      <c r="B433" t="s">
        <v>140</v>
      </c>
      <c r="C433">
        <v>799724</v>
      </c>
      <c r="D433">
        <v>0</v>
      </c>
      <c r="E433">
        <v>2846229</v>
      </c>
      <c r="F433">
        <v>3399975</v>
      </c>
      <c r="G433">
        <v>0</v>
      </c>
      <c r="H433">
        <v>243106</v>
      </c>
      <c r="I433">
        <f>E433/H433</f>
        <v>11.707769450363216</v>
      </c>
    </row>
    <row r="434" spans="1:9" x14ac:dyDescent="0.25">
      <c r="A434" t="s">
        <v>442</v>
      </c>
      <c r="B434" t="s">
        <v>443</v>
      </c>
      <c r="C434">
        <v>244205</v>
      </c>
      <c r="D434">
        <v>0</v>
      </c>
      <c r="E434">
        <v>933779</v>
      </c>
      <c r="F434">
        <v>846378</v>
      </c>
      <c r="G434">
        <v>0</v>
      </c>
      <c r="H434">
        <v>82314</v>
      </c>
      <c r="I434">
        <f>E434/H434</f>
        <v>11.344109143037636</v>
      </c>
    </row>
    <row r="435" spans="1:9" x14ac:dyDescent="0.25">
      <c r="A435" t="s">
        <v>444</v>
      </c>
      <c r="B435" t="s">
        <v>445</v>
      </c>
      <c r="C435">
        <v>244205</v>
      </c>
      <c r="D435">
        <v>0</v>
      </c>
      <c r="E435">
        <v>933779</v>
      </c>
      <c r="F435">
        <v>846378</v>
      </c>
      <c r="G435">
        <v>0</v>
      </c>
      <c r="H435">
        <v>82314</v>
      </c>
      <c r="I435">
        <f>E435/H435</f>
        <v>11.344109143037636</v>
      </c>
    </row>
    <row r="436" spans="1:9" x14ac:dyDescent="0.25">
      <c r="A436" t="s">
        <v>258</v>
      </c>
      <c r="B436" t="s">
        <v>259</v>
      </c>
      <c r="C436">
        <v>703585</v>
      </c>
      <c r="D436">
        <v>0</v>
      </c>
      <c r="E436">
        <v>2373356</v>
      </c>
      <c r="F436">
        <v>2496528</v>
      </c>
      <c r="G436">
        <v>0</v>
      </c>
      <c r="H436">
        <v>218161</v>
      </c>
      <c r="I436">
        <f>E436/H436</f>
        <v>10.878919696921081</v>
      </c>
    </row>
    <row r="437" spans="1:9" x14ac:dyDescent="0.25">
      <c r="A437" t="s">
        <v>260</v>
      </c>
      <c r="B437" t="s">
        <v>261</v>
      </c>
      <c r="C437">
        <v>703585</v>
      </c>
      <c r="D437">
        <v>0</v>
      </c>
      <c r="E437">
        <v>2373356</v>
      </c>
      <c r="F437">
        <v>2496528</v>
      </c>
      <c r="G437">
        <v>0</v>
      </c>
      <c r="H437">
        <v>218161</v>
      </c>
      <c r="I437">
        <f>E437/H437</f>
        <v>10.878919696921081</v>
      </c>
    </row>
    <row r="438" spans="1:9" x14ac:dyDescent="0.25">
      <c r="A438" t="s">
        <v>446</v>
      </c>
      <c r="B438" t="s">
        <v>447</v>
      </c>
      <c r="C438">
        <v>257977</v>
      </c>
      <c r="D438">
        <v>0</v>
      </c>
      <c r="E438">
        <v>814831</v>
      </c>
      <c r="F438">
        <v>920754</v>
      </c>
      <c r="G438">
        <v>0</v>
      </c>
      <c r="H438">
        <v>82314</v>
      </c>
      <c r="I438">
        <f>E438/H438</f>
        <v>9.8990572685083951</v>
      </c>
    </row>
    <row r="439" spans="1:9" x14ac:dyDescent="0.25">
      <c r="A439" t="s">
        <v>356</v>
      </c>
      <c r="B439" t="s">
        <v>357</v>
      </c>
      <c r="C439">
        <v>579289</v>
      </c>
      <c r="D439">
        <v>21135</v>
      </c>
      <c r="E439">
        <v>2902764</v>
      </c>
      <c r="F439">
        <v>2102693</v>
      </c>
      <c r="G439">
        <v>0</v>
      </c>
      <c r="H439">
        <v>295270</v>
      </c>
      <c r="I439">
        <f>E439/H439</f>
        <v>9.8308802113320013</v>
      </c>
    </row>
    <row r="440" spans="1:9" x14ac:dyDescent="0.25">
      <c r="A440" t="s">
        <v>107</v>
      </c>
      <c r="B440" t="s">
        <v>108</v>
      </c>
      <c r="C440">
        <v>381541</v>
      </c>
      <c r="D440">
        <v>0</v>
      </c>
      <c r="E440">
        <v>1885265</v>
      </c>
      <c r="F440">
        <v>1696532</v>
      </c>
      <c r="G440">
        <v>389244</v>
      </c>
      <c r="H440">
        <v>200020</v>
      </c>
      <c r="I440">
        <f>E440/H440</f>
        <v>9.4253824617538253</v>
      </c>
    </row>
    <row r="441" spans="1:9" x14ac:dyDescent="0.25">
      <c r="A441" t="s">
        <v>103</v>
      </c>
      <c r="B441" t="s">
        <v>104</v>
      </c>
      <c r="C441">
        <v>339333</v>
      </c>
      <c r="D441">
        <v>0</v>
      </c>
      <c r="E441">
        <v>1832697</v>
      </c>
      <c r="F441">
        <v>1597609</v>
      </c>
      <c r="G441">
        <v>389244</v>
      </c>
      <c r="H441">
        <v>194690</v>
      </c>
      <c r="I441">
        <f>E441/H441</f>
        <v>9.4134110637423589</v>
      </c>
    </row>
    <row r="442" spans="1:9" x14ac:dyDescent="0.25">
      <c r="A442" t="s">
        <v>105</v>
      </c>
      <c r="B442" t="s">
        <v>106</v>
      </c>
      <c r="C442">
        <v>339333</v>
      </c>
      <c r="D442">
        <v>0</v>
      </c>
      <c r="E442">
        <v>1832697</v>
      </c>
      <c r="F442">
        <v>1597609</v>
      </c>
      <c r="G442">
        <v>389244</v>
      </c>
      <c r="H442">
        <v>194690</v>
      </c>
      <c r="I442">
        <f>E442/H442</f>
        <v>9.4134110637423589</v>
      </c>
    </row>
    <row r="443" spans="1:9" x14ac:dyDescent="0.25">
      <c r="A443" t="s">
        <v>799</v>
      </c>
      <c r="B443" t="s">
        <v>1089</v>
      </c>
      <c r="C443">
        <v>0</v>
      </c>
      <c r="D443">
        <v>294638</v>
      </c>
      <c r="E443">
        <v>899163</v>
      </c>
      <c r="F443">
        <v>520664</v>
      </c>
      <c r="G443">
        <v>145707</v>
      </c>
      <c r="H443">
        <v>106837</v>
      </c>
      <c r="I443">
        <f>E443/H443</f>
        <v>8.4162134840925891</v>
      </c>
    </row>
    <row r="444" spans="1:9" x14ac:dyDescent="0.25">
      <c r="A444" t="s">
        <v>853</v>
      </c>
      <c r="B444" t="s">
        <v>1118</v>
      </c>
      <c r="C444">
        <v>0</v>
      </c>
      <c r="D444">
        <v>174435</v>
      </c>
      <c r="E444">
        <v>1847554</v>
      </c>
      <c r="F444">
        <v>1448830</v>
      </c>
      <c r="G444">
        <v>0</v>
      </c>
      <c r="H444">
        <v>227055</v>
      </c>
      <c r="I444">
        <f>E444/H444</f>
        <v>8.1370328774966421</v>
      </c>
    </row>
    <row r="445" spans="1:9" x14ac:dyDescent="0.25">
      <c r="A445" t="s">
        <v>854</v>
      </c>
      <c r="B445" t="s">
        <v>1119</v>
      </c>
      <c r="C445">
        <v>0</v>
      </c>
      <c r="D445">
        <v>174435</v>
      </c>
      <c r="E445">
        <v>1847554</v>
      </c>
      <c r="F445">
        <v>1448830</v>
      </c>
      <c r="G445">
        <v>0</v>
      </c>
      <c r="H445">
        <v>227055</v>
      </c>
      <c r="I445">
        <f>E445/H445</f>
        <v>8.1370328774966421</v>
      </c>
    </row>
    <row r="446" spans="1:9" x14ac:dyDescent="0.25">
      <c r="A446" t="s">
        <v>840</v>
      </c>
      <c r="B446" t="s">
        <v>1110</v>
      </c>
      <c r="C446">
        <v>0</v>
      </c>
      <c r="D446">
        <v>176250</v>
      </c>
      <c r="E446">
        <v>1873032</v>
      </c>
      <c r="F446">
        <v>1563557</v>
      </c>
      <c r="G446">
        <v>0</v>
      </c>
      <c r="H446">
        <v>230875</v>
      </c>
      <c r="I446">
        <f>E446/H446</f>
        <v>8.1127536545749859</v>
      </c>
    </row>
    <row r="447" spans="1:9" x14ac:dyDescent="0.25">
      <c r="A447" t="s">
        <v>270</v>
      </c>
      <c r="B447" t="s">
        <v>271</v>
      </c>
      <c r="C447">
        <v>217889</v>
      </c>
      <c r="D447">
        <v>0</v>
      </c>
      <c r="E447">
        <v>1077414</v>
      </c>
      <c r="F447">
        <v>1220126</v>
      </c>
      <c r="G447">
        <v>0</v>
      </c>
      <c r="H447">
        <v>140059</v>
      </c>
      <c r="I447">
        <f>E447/H447</f>
        <v>7.6925724159104378</v>
      </c>
    </row>
    <row r="448" spans="1:9" x14ac:dyDescent="0.25">
      <c r="A448" t="s">
        <v>278</v>
      </c>
      <c r="B448" t="s">
        <v>279</v>
      </c>
      <c r="C448">
        <v>202601</v>
      </c>
      <c r="D448">
        <v>0</v>
      </c>
      <c r="E448">
        <v>1312938</v>
      </c>
      <c r="F448">
        <v>1585017</v>
      </c>
      <c r="G448">
        <v>0</v>
      </c>
      <c r="H448">
        <v>172537</v>
      </c>
      <c r="I448">
        <f>E448/H448</f>
        <v>7.6096025779977632</v>
      </c>
    </row>
    <row r="449" spans="1:9" x14ac:dyDescent="0.25">
      <c r="A449" t="s">
        <v>344</v>
      </c>
      <c r="B449" t="s">
        <v>345</v>
      </c>
      <c r="C449">
        <v>844580</v>
      </c>
      <c r="D449">
        <v>17231</v>
      </c>
      <c r="E449">
        <v>3611774</v>
      </c>
      <c r="F449">
        <v>2856277</v>
      </c>
      <c r="G449">
        <v>0</v>
      </c>
      <c r="H449">
        <v>474918</v>
      </c>
      <c r="I449">
        <f>E449/H449</f>
        <v>7.6050476082186815</v>
      </c>
    </row>
    <row r="450" spans="1:9" x14ac:dyDescent="0.25">
      <c r="A450" t="s">
        <v>77</v>
      </c>
      <c r="B450" t="s">
        <v>78</v>
      </c>
      <c r="C450">
        <v>189720</v>
      </c>
      <c r="D450">
        <v>1548</v>
      </c>
      <c r="E450">
        <v>1148909</v>
      </c>
      <c r="F450">
        <v>1234380</v>
      </c>
      <c r="G450">
        <v>0</v>
      </c>
      <c r="H450">
        <v>151196</v>
      </c>
      <c r="I450">
        <f>E450/H450</f>
        <v>7.5988055239556598</v>
      </c>
    </row>
    <row r="451" spans="1:9" x14ac:dyDescent="0.25">
      <c r="A451" t="s">
        <v>346</v>
      </c>
      <c r="B451" t="s">
        <v>347</v>
      </c>
      <c r="C451">
        <v>844580</v>
      </c>
      <c r="D451">
        <v>17231</v>
      </c>
      <c r="E451">
        <v>3613697</v>
      </c>
      <c r="F451">
        <v>2856277</v>
      </c>
      <c r="G451">
        <v>0</v>
      </c>
      <c r="H451">
        <v>488777</v>
      </c>
      <c r="I451">
        <f>E451/H451</f>
        <v>7.3933450223721655</v>
      </c>
    </row>
    <row r="452" spans="1:9" x14ac:dyDescent="0.25">
      <c r="A452" t="s">
        <v>79</v>
      </c>
      <c r="B452" t="s">
        <v>80</v>
      </c>
      <c r="C452">
        <v>196841</v>
      </c>
      <c r="D452">
        <v>1548</v>
      </c>
      <c r="E452">
        <v>1148909</v>
      </c>
      <c r="F452">
        <v>1234380</v>
      </c>
      <c r="G452">
        <v>0</v>
      </c>
      <c r="H452">
        <v>158934</v>
      </c>
      <c r="I452">
        <f>E452/H452</f>
        <v>7.2288434192809596</v>
      </c>
    </row>
    <row r="453" spans="1:9" x14ac:dyDescent="0.25">
      <c r="A453" t="s">
        <v>274</v>
      </c>
      <c r="B453" t="s">
        <v>275</v>
      </c>
      <c r="C453">
        <v>138769</v>
      </c>
      <c r="D453">
        <v>0</v>
      </c>
      <c r="E453">
        <v>491037</v>
      </c>
      <c r="F453">
        <v>610922</v>
      </c>
      <c r="G453">
        <v>0</v>
      </c>
      <c r="H453">
        <v>69399</v>
      </c>
      <c r="I453">
        <f>E453/H453</f>
        <v>7.0755630484589114</v>
      </c>
    </row>
    <row r="454" spans="1:9" x14ac:dyDescent="0.25">
      <c r="A454" t="s">
        <v>940</v>
      </c>
      <c r="B454" t="s">
        <v>1170</v>
      </c>
      <c r="C454">
        <v>0</v>
      </c>
      <c r="D454">
        <v>0</v>
      </c>
      <c r="E454">
        <v>1280177</v>
      </c>
      <c r="F454">
        <v>1496248</v>
      </c>
      <c r="G454">
        <v>0</v>
      </c>
      <c r="H454">
        <v>180936</v>
      </c>
      <c r="I454">
        <f>E454/H454</f>
        <v>7.0753028695229254</v>
      </c>
    </row>
    <row r="455" spans="1:9" x14ac:dyDescent="0.25">
      <c r="A455" t="s">
        <v>268</v>
      </c>
      <c r="B455" t="s">
        <v>269</v>
      </c>
      <c r="C455">
        <v>217889</v>
      </c>
      <c r="D455">
        <v>0</v>
      </c>
      <c r="E455">
        <v>989741</v>
      </c>
      <c r="F455">
        <v>1046047</v>
      </c>
      <c r="G455">
        <v>0</v>
      </c>
      <c r="H455">
        <v>140059</v>
      </c>
      <c r="I455">
        <f>E455/H455</f>
        <v>7.0666005040732838</v>
      </c>
    </row>
    <row r="456" spans="1:9" x14ac:dyDescent="0.25">
      <c r="A456" t="s">
        <v>324</v>
      </c>
      <c r="B456" t="s">
        <v>325</v>
      </c>
      <c r="C456">
        <v>418750</v>
      </c>
      <c r="D456">
        <v>0</v>
      </c>
      <c r="E456">
        <v>1860026</v>
      </c>
      <c r="F456">
        <v>1910253</v>
      </c>
      <c r="G456">
        <v>167876</v>
      </c>
      <c r="H456">
        <v>264132</v>
      </c>
      <c r="I456">
        <f>E456/H456</f>
        <v>7.0420320142958825</v>
      </c>
    </row>
    <row r="457" spans="1:9" x14ac:dyDescent="0.25">
      <c r="A457" t="s">
        <v>250</v>
      </c>
      <c r="B457" t="s">
        <v>251</v>
      </c>
      <c r="C457">
        <v>474336</v>
      </c>
      <c r="D457">
        <v>0</v>
      </c>
      <c r="E457">
        <v>1738624</v>
      </c>
      <c r="F457">
        <v>1986568</v>
      </c>
      <c r="G457">
        <v>0</v>
      </c>
      <c r="H457">
        <v>247044</v>
      </c>
      <c r="I457">
        <f>E457/H457</f>
        <v>7.0377098816405175</v>
      </c>
    </row>
    <row r="458" spans="1:9" x14ac:dyDescent="0.25">
      <c r="A458" t="s">
        <v>276</v>
      </c>
      <c r="B458" t="s">
        <v>277</v>
      </c>
      <c r="C458">
        <v>199076</v>
      </c>
      <c r="D458">
        <v>0</v>
      </c>
      <c r="E458">
        <v>1209785</v>
      </c>
      <c r="F458">
        <v>1418482</v>
      </c>
      <c r="G458">
        <v>0</v>
      </c>
      <c r="H458">
        <v>172537</v>
      </c>
      <c r="I458">
        <f>E458/H458</f>
        <v>7.0117424088746185</v>
      </c>
    </row>
    <row r="459" spans="1:9" x14ac:dyDescent="0.25">
      <c r="A459" t="s">
        <v>246</v>
      </c>
      <c r="B459" t="s">
        <v>247</v>
      </c>
      <c r="C459">
        <v>472062</v>
      </c>
      <c r="D459">
        <v>0</v>
      </c>
      <c r="E459">
        <v>1694129</v>
      </c>
      <c r="F459">
        <v>1921347</v>
      </c>
      <c r="G459">
        <v>0</v>
      </c>
      <c r="H459">
        <v>247044</v>
      </c>
      <c r="I459">
        <f>E459/H459</f>
        <v>6.8576002655397419</v>
      </c>
    </row>
    <row r="460" spans="1:9" x14ac:dyDescent="0.25">
      <c r="A460" t="s">
        <v>248</v>
      </c>
      <c r="B460" t="s">
        <v>249</v>
      </c>
      <c r="C460">
        <v>472062</v>
      </c>
      <c r="D460">
        <v>0</v>
      </c>
      <c r="E460">
        <v>1694129</v>
      </c>
      <c r="F460">
        <v>1921347</v>
      </c>
      <c r="G460">
        <v>0</v>
      </c>
      <c r="H460">
        <v>247044</v>
      </c>
      <c r="I460">
        <f>E460/H460</f>
        <v>6.8576002655397419</v>
      </c>
    </row>
    <row r="461" spans="1:9" x14ac:dyDescent="0.25">
      <c r="A461" t="s">
        <v>21</v>
      </c>
      <c r="B461" t="s">
        <v>22</v>
      </c>
      <c r="C461">
        <v>662088</v>
      </c>
      <c r="D461">
        <v>0</v>
      </c>
      <c r="E461">
        <v>3500643</v>
      </c>
      <c r="F461">
        <v>3764654</v>
      </c>
      <c r="G461">
        <v>0</v>
      </c>
      <c r="H461">
        <v>517918</v>
      </c>
      <c r="I461">
        <f>E461/H461</f>
        <v>6.7590680377974888</v>
      </c>
    </row>
    <row r="462" spans="1:9" x14ac:dyDescent="0.25">
      <c r="A462" t="s">
        <v>23</v>
      </c>
      <c r="B462" t="s">
        <v>24</v>
      </c>
      <c r="C462">
        <v>662088</v>
      </c>
      <c r="D462">
        <v>0</v>
      </c>
      <c r="E462">
        <v>3500643</v>
      </c>
      <c r="F462">
        <v>3764654</v>
      </c>
      <c r="G462">
        <v>0</v>
      </c>
      <c r="H462">
        <v>517918</v>
      </c>
      <c r="I462">
        <f>E462/H462</f>
        <v>6.7590680377974888</v>
      </c>
    </row>
    <row r="463" spans="1:9" x14ac:dyDescent="0.25">
      <c r="A463" t="s">
        <v>322</v>
      </c>
      <c r="B463" t="s">
        <v>323</v>
      </c>
      <c r="C463">
        <v>418750</v>
      </c>
      <c r="D463">
        <v>0</v>
      </c>
      <c r="E463">
        <v>1774280</v>
      </c>
      <c r="F463">
        <v>1891847</v>
      </c>
      <c r="G463">
        <v>167876</v>
      </c>
      <c r="H463">
        <v>264132</v>
      </c>
      <c r="I463">
        <f>E463/H463</f>
        <v>6.7173988763194163</v>
      </c>
    </row>
    <row r="464" spans="1:9" x14ac:dyDescent="0.25">
      <c r="A464" t="s">
        <v>508</v>
      </c>
      <c r="B464" t="s">
        <v>509</v>
      </c>
      <c r="C464">
        <v>770890</v>
      </c>
      <c r="D464">
        <v>587689</v>
      </c>
      <c r="E464">
        <v>3366255</v>
      </c>
      <c r="F464">
        <v>2534541</v>
      </c>
      <c r="G464">
        <v>779847</v>
      </c>
      <c r="H464">
        <v>520631</v>
      </c>
      <c r="I464">
        <f>E464/H464</f>
        <v>6.4657214034508126</v>
      </c>
    </row>
    <row r="465" spans="1:9" x14ac:dyDescent="0.25">
      <c r="A465" t="s">
        <v>422</v>
      </c>
      <c r="B465" t="s">
        <v>423</v>
      </c>
      <c r="C465">
        <v>519300</v>
      </c>
      <c r="D465">
        <v>39078</v>
      </c>
      <c r="E465">
        <v>1422096</v>
      </c>
      <c r="F465">
        <v>1372336</v>
      </c>
      <c r="G465">
        <v>293561</v>
      </c>
      <c r="H465">
        <v>224088</v>
      </c>
      <c r="I465">
        <f>E465/H465</f>
        <v>6.3461497268930067</v>
      </c>
    </row>
    <row r="466" spans="1:9" x14ac:dyDescent="0.25">
      <c r="A466" t="s">
        <v>886</v>
      </c>
      <c r="B466" t="s">
        <v>1137</v>
      </c>
      <c r="C466">
        <v>0</v>
      </c>
      <c r="D466">
        <v>0</v>
      </c>
      <c r="E466">
        <v>1090483</v>
      </c>
      <c r="F466">
        <v>1135266</v>
      </c>
      <c r="G466">
        <v>0</v>
      </c>
      <c r="H466">
        <v>172364</v>
      </c>
      <c r="I466">
        <f>E466/H466</f>
        <v>6.3266285303195566</v>
      </c>
    </row>
    <row r="467" spans="1:9" x14ac:dyDescent="0.25">
      <c r="A467" t="s">
        <v>156</v>
      </c>
      <c r="B467" t="s">
        <v>157</v>
      </c>
      <c r="C467">
        <v>726582</v>
      </c>
      <c r="D467">
        <v>0</v>
      </c>
      <c r="E467">
        <v>2899249</v>
      </c>
      <c r="F467">
        <v>2516276</v>
      </c>
      <c r="G467">
        <v>367420</v>
      </c>
      <c r="H467">
        <v>461704</v>
      </c>
      <c r="I467">
        <f>E467/H467</f>
        <v>6.279453935855007</v>
      </c>
    </row>
    <row r="468" spans="1:9" x14ac:dyDescent="0.25">
      <c r="A468" t="s">
        <v>25</v>
      </c>
      <c r="B468" t="s">
        <v>26</v>
      </c>
      <c r="C468">
        <v>713746</v>
      </c>
      <c r="D468">
        <v>0</v>
      </c>
      <c r="E468">
        <v>3620911</v>
      </c>
      <c r="F468">
        <v>3943896</v>
      </c>
      <c r="G468">
        <v>0</v>
      </c>
      <c r="H468">
        <v>579192</v>
      </c>
      <c r="I468">
        <f>E468/H468</f>
        <v>6.2516592080001105</v>
      </c>
    </row>
    <row r="469" spans="1:9" x14ac:dyDescent="0.25">
      <c r="A469" t="s">
        <v>154</v>
      </c>
      <c r="B469" t="s">
        <v>155</v>
      </c>
      <c r="C469">
        <v>723599</v>
      </c>
      <c r="D469">
        <v>0</v>
      </c>
      <c r="E469">
        <v>2875466</v>
      </c>
      <c r="F469">
        <v>2497693</v>
      </c>
      <c r="G469">
        <v>367420</v>
      </c>
      <c r="H469">
        <v>461704</v>
      </c>
      <c r="I469">
        <f>E469/H469</f>
        <v>6.2279425779287161</v>
      </c>
    </row>
    <row r="470" spans="1:9" x14ac:dyDescent="0.25">
      <c r="A470" t="s">
        <v>412</v>
      </c>
      <c r="B470" t="s">
        <v>413</v>
      </c>
      <c r="C470">
        <v>466064</v>
      </c>
      <c r="D470">
        <v>0</v>
      </c>
      <c r="E470">
        <v>2334464</v>
      </c>
      <c r="F470">
        <v>3249690</v>
      </c>
      <c r="G470">
        <v>371777</v>
      </c>
      <c r="H470">
        <v>378777</v>
      </c>
      <c r="I470">
        <f>E470/H470</f>
        <v>6.1631619660116641</v>
      </c>
    </row>
    <row r="471" spans="1:9" x14ac:dyDescent="0.25">
      <c r="A471" t="s">
        <v>931</v>
      </c>
      <c r="B471" t="s">
        <v>1152</v>
      </c>
      <c r="C471">
        <v>0</v>
      </c>
      <c r="D471">
        <v>0</v>
      </c>
      <c r="E471">
        <v>1649780</v>
      </c>
      <c r="F471">
        <v>1591917</v>
      </c>
      <c r="G471">
        <v>0</v>
      </c>
      <c r="H471">
        <v>268480</v>
      </c>
      <c r="I471">
        <f>E471/H471</f>
        <v>6.1448897497020258</v>
      </c>
    </row>
    <row r="472" spans="1:9" x14ac:dyDescent="0.25">
      <c r="A472" t="s">
        <v>938</v>
      </c>
      <c r="B472" t="s">
        <v>1170</v>
      </c>
      <c r="C472">
        <v>0</v>
      </c>
      <c r="D472">
        <v>0</v>
      </c>
      <c r="E472">
        <v>1075713</v>
      </c>
      <c r="F472">
        <v>1303351</v>
      </c>
      <c r="G472">
        <v>0</v>
      </c>
      <c r="H472">
        <v>178803</v>
      </c>
      <c r="I472">
        <f>E472/H472</f>
        <v>6.0161910035066528</v>
      </c>
    </row>
    <row r="473" spans="1:9" x14ac:dyDescent="0.25">
      <c r="A473" t="s">
        <v>939</v>
      </c>
      <c r="B473" t="s">
        <v>1170</v>
      </c>
      <c r="C473">
        <v>0</v>
      </c>
      <c r="D473">
        <v>0</v>
      </c>
      <c r="E473">
        <v>1075713</v>
      </c>
      <c r="F473">
        <v>1303351</v>
      </c>
      <c r="G473">
        <v>0</v>
      </c>
      <c r="H473">
        <v>178803</v>
      </c>
      <c r="I473">
        <f>E473/H473</f>
        <v>6.0161910035066528</v>
      </c>
    </row>
    <row r="474" spans="1:9" x14ac:dyDescent="0.25">
      <c r="A474" t="s">
        <v>109</v>
      </c>
      <c r="B474" t="s">
        <v>110</v>
      </c>
      <c r="C474">
        <v>862555</v>
      </c>
      <c r="D474">
        <v>96399</v>
      </c>
      <c r="E474">
        <v>2440598</v>
      </c>
      <c r="F474">
        <v>2268587</v>
      </c>
      <c r="G474">
        <v>631359</v>
      </c>
      <c r="H474">
        <v>405895</v>
      </c>
      <c r="I474">
        <f>E474/H474</f>
        <v>6.0128801783712538</v>
      </c>
    </row>
    <row r="475" spans="1:9" x14ac:dyDescent="0.25">
      <c r="A475" t="s">
        <v>111</v>
      </c>
      <c r="B475" t="s">
        <v>112</v>
      </c>
      <c r="C475">
        <v>880426</v>
      </c>
      <c r="D475">
        <v>181945</v>
      </c>
      <c r="E475">
        <v>2465559</v>
      </c>
      <c r="F475">
        <v>2320785</v>
      </c>
      <c r="G475">
        <v>667445</v>
      </c>
      <c r="H475">
        <v>410613</v>
      </c>
      <c r="I475">
        <f>E475/H475</f>
        <v>6.0045809557904892</v>
      </c>
    </row>
    <row r="476" spans="1:9" x14ac:dyDescent="0.25">
      <c r="A476" t="s">
        <v>378</v>
      </c>
      <c r="B476" t="s">
        <v>379</v>
      </c>
      <c r="C476">
        <v>557335</v>
      </c>
      <c r="D476">
        <v>0</v>
      </c>
      <c r="E476">
        <v>2049273</v>
      </c>
      <c r="F476">
        <v>1597388</v>
      </c>
      <c r="G476">
        <v>0</v>
      </c>
      <c r="H476">
        <v>342904</v>
      </c>
      <c r="I476">
        <f>E476/H476</f>
        <v>5.9762294986351865</v>
      </c>
    </row>
    <row r="477" spans="1:9" x14ac:dyDescent="0.25">
      <c r="A477" t="s">
        <v>162</v>
      </c>
      <c r="B477" t="s">
        <v>163</v>
      </c>
      <c r="C477">
        <v>337253</v>
      </c>
      <c r="D477">
        <v>0</v>
      </c>
      <c r="E477">
        <v>1290469</v>
      </c>
      <c r="F477">
        <v>1488264</v>
      </c>
      <c r="G477">
        <v>247320</v>
      </c>
      <c r="H477">
        <v>220743</v>
      </c>
      <c r="I477">
        <f>E477/H477</f>
        <v>5.8460245625002836</v>
      </c>
    </row>
    <row r="478" spans="1:9" x14ac:dyDescent="0.25">
      <c r="A478" t="s">
        <v>454</v>
      </c>
      <c r="B478" t="s">
        <v>455</v>
      </c>
      <c r="C478">
        <v>878940</v>
      </c>
      <c r="D478">
        <v>647667</v>
      </c>
      <c r="E478">
        <v>3640069</v>
      </c>
      <c r="F478">
        <v>2831343</v>
      </c>
      <c r="G478">
        <v>723001</v>
      </c>
      <c r="H478">
        <v>644789</v>
      </c>
      <c r="I478">
        <f>E478/H478</f>
        <v>5.6453646076468429</v>
      </c>
    </row>
    <row r="479" spans="1:9" x14ac:dyDescent="0.25">
      <c r="A479" t="s">
        <v>452</v>
      </c>
      <c r="B479" t="s">
        <v>453</v>
      </c>
      <c r="C479">
        <v>887338</v>
      </c>
      <c r="D479">
        <v>647667</v>
      </c>
      <c r="E479">
        <v>3665876</v>
      </c>
      <c r="F479">
        <v>2866703</v>
      </c>
      <c r="G479">
        <v>728322</v>
      </c>
      <c r="H479">
        <v>650942</v>
      </c>
      <c r="I479">
        <f>E479/H479</f>
        <v>5.6316476736790682</v>
      </c>
    </row>
    <row r="480" spans="1:9" x14ac:dyDescent="0.25">
      <c r="A480" t="s">
        <v>884</v>
      </c>
      <c r="B480" t="s">
        <v>1136</v>
      </c>
      <c r="C480">
        <v>0</v>
      </c>
      <c r="D480">
        <v>0</v>
      </c>
      <c r="E480">
        <v>955953</v>
      </c>
      <c r="F480">
        <v>1116770</v>
      </c>
      <c r="G480">
        <v>0</v>
      </c>
      <c r="H480">
        <v>172364</v>
      </c>
      <c r="I480">
        <f>E480/H480</f>
        <v>5.5461291220904601</v>
      </c>
    </row>
    <row r="481" spans="1:9" x14ac:dyDescent="0.25">
      <c r="A481" t="s">
        <v>885</v>
      </c>
      <c r="B481" t="s">
        <v>1132</v>
      </c>
      <c r="C481">
        <v>0</v>
      </c>
      <c r="D481">
        <v>0</v>
      </c>
      <c r="E481">
        <v>955953</v>
      </c>
      <c r="F481">
        <v>1116770</v>
      </c>
      <c r="G481">
        <v>0</v>
      </c>
      <c r="H481">
        <v>172364</v>
      </c>
      <c r="I481">
        <f>E481/H481</f>
        <v>5.5461291220904601</v>
      </c>
    </row>
    <row r="482" spans="1:9" x14ac:dyDescent="0.25">
      <c r="A482" t="s">
        <v>904</v>
      </c>
      <c r="B482" t="s">
        <v>1149</v>
      </c>
      <c r="C482">
        <v>0</v>
      </c>
      <c r="D482">
        <v>0</v>
      </c>
      <c r="E482">
        <v>1753274</v>
      </c>
      <c r="F482">
        <v>1100790</v>
      </c>
      <c r="G482">
        <v>0</v>
      </c>
      <c r="H482">
        <v>319370</v>
      </c>
      <c r="I482">
        <f>E482/H482</f>
        <v>5.4897892726304915</v>
      </c>
    </row>
    <row r="483" spans="1:9" x14ac:dyDescent="0.25">
      <c r="A483" t="s">
        <v>416</v>
      </c>
      <c r="B483" t="s">
        <v>417</v>
      </c>
      <c r="C483">
        <v>445587</v>
      </c>
      <c r="D483">
        <v>0</v>
      </c>
      <c r="E483">
        <v>1987518</v>
      </c>
      <c r="F483">
        <v>2714399</v>
      </c>
      <c r="G483">
        <v>371777</v>
      </c>
      <c r="H483">
        <v>362204</v>
      </c>
      <c r="I483">
        <f>E483/H483</f>
        <v>5.4872889310996014</v>
      </c>
    </row>
    <row r="484" spans="1:9" x14ac:dyDescent="0.25">
      <c r="A484" t="s">
        <v>418</v>
      </c>
      <c r="B484" t="s">
        <v>419</v>
      </c>
      <c r="C484">
        <v>445587</v>
      </c>
      <c r="D484">
        <v>0</v>
      </c>
      <c r="E484">
        <v>1987518</v>
      </c>
      <c r="F484">
        <v>2714399</v>
      </c>
      <c r="G484">
        <v>371777</v>
      </c>
      <c r="H484">
        <v>362204</v>
      </c>
      <c r="I484">
        <f>E484/H484</f>
        <v>5.4872889310996014</v>
      </c>
    </row>
    <row r="485" spans="1:9" x14ac:dyDescent="0.25">
      <c r="A485" t="s">
        <v>898</v>
      </c>
      <c r="B485" t="s">
        <v>1146</v>
      </c>
      <c r="C485">
        <v>0</v>
      </c>
      <c r="D485">
        <v>0</v>
      </c>
      <c r="E485">
        <v>1333140</v>
      </c>
      <c r="F485">
        <v>1315489</v>
      </c>
      <c r="G485">
        <v>0</v>
      </c>
      <c r="H485">
        <v>244588</v>
      </c>
      <c r="I485">
        <f>E485/H485</f>
        <v>5.4505535839861317</v>
      </c>
    </row>
    <row r="486" spans="1:9" x14ac:dyDescent="0.25">
      <c r="A486" t="s">
        <v>911</v>
      </c>
      <c r="B486" t="s">
        <v>1152</v>
      </c>
      <c r="C486">
        <v>0</v>
      </c>
      <c r="D486">
        <v>0</v>
      </c>
      <c r="E486">
        <v>1717322</v>
      </c>
      <c r="F486">
        <v>1560363</v>
      </c>
      <c r="G486">
        <v>0</v>
      </c>
      <c r="H486">
        <v>320805</v>
      </c>
      <c r="I486">
        <f>E486/H486</f>
        <v>5.3531646950639793</v>
      </c>
    </row>
    <row r="487" spans="1:9" x14ac:dyDescent="0.25">
      <c r="A487" t="s">
        <v>85</v>
      </c>
      <c r="B487" t="s">
        <v>86</v>
      </c>
      <c r="C487">
        <v>415804</v>
      </c>
      <c r="D487">
        <v>0</v>
      </c>
      <c r="E487">
        <v>810309</v>
      </c>
      <c r="F487">
        <v>767857</v>
      </c>
      <c r="G487">
        <v>0</v>
      </c>
      <c r="H487">
        <v>151655</v>
      </c>
      <c r="I487">
        <f>E487/H487</f>
        <v>5.3431077115822099</v>
      </c>
    </row>
    <row r="488" spans="1:9" x14ac:dyDescent="0.25">
      <c r="A488" t="s">
        <v>87</v>
      </c>
      <c r="B488" t="s">
        <v>88</v>
      </c>
      <c r="C488">
        <v>306942</v>
      </c>
      <c r="D488">
        <v>0</v>
      </c>
      <c r="E488">
        <v>810309</v>
      </c>
      <c r="F488">
        <v>762749</v>
      </c>
      <c r="G488">
        <v>0</v>
      </c>
      <c r="H488">
        <v>151655</v>
      </c>
      <c r="I488">
        <f>E488/H488</f>
        <v>5.3431077115822099</v>
      </c>
    </row>
    <row r="489" spans="1:9" x14ac:dyDescent="0.25">
      <c r="A489" t="s">
        <v>910</v>
      </c>
      <c r="B489" t="s">
        <v>1152</v>
      </c>
      <c r="C489">
        <v>0</v>
      </c>
      <c r="D489">
        <v>0</v>
      </c>
      <c r="E489">
        <v>1707661</v>
      </c>
      <c r="F489">
        <v>1558393</v>
      </c>
      <c r="G489">
        <v>0</v>
      </c>
      <c r="H489">
        <v>320805</v>
      </c>
      <c r="I489">
        <f>E489/H489</f>
        <v>5.3230498277769982</v>
      </c>
    </row>
    <row r="490" spans="1:9" x14ac:dyDescent="0.25">
      <c r="A490" t="s">
        <v>212</v>
      </c>
      <c r="B490" t="s">
        <v>213</v>
      </c>
      <c r="C490">
        <v>1272960</v>
      </c>
      <c r="D490">
        <v>402592</v>
      </c>
      <c r="E490">
        <v>5606572</v>
      </c>
      <c r="F490">
        <v>4994004</v>
      </c>
      <c r="G490">
        <v>725462</v>
      </c>
      <c r="H490">
        <v>1064645</v>
      </c>
      <c r="I490">
        <f>E490/H490</f>
        <v>5.2661422352051623</v>
      </c>
    </row>
    <row r="491" spans="1:9" x14ac:dyDescent="0.25">
      <c r="A491" t="s">
        <v>214</v>
      </c>
      <c r="B491" t="s">
        <v>215</v>
      </c>
      <c r="C491">
        <v>1272960</v>
      </c>
      <c r="D491">
        <v>402592</v>
      </c>
      <c r="E491">
        <v>5606572</v>
      </c>
      <c r="F491">
        <v>4994004</v>
      </c>
      <c r="G491">
        <v>725462</v>
      </c>
      <c r="H491">
        <v>1064645</v>
      </c>
      <c r="I491">
        <f>E491/H491</f>
        <v>5.2661422352051623</v>
      </c>
    </row>
    <row r="492" spans="1:9" x14ac:dyDescent="0.25">
      <c r="A492" t="s">
        <v>903</v>
      </c>
      <c r="B492" t="s">
        <v>1119</v>
      </c>
      <c r="C492">
        <v>0</v>
      </c>
      <c r="D492">
        <v>0</v>
      </c>
      <c r="E492">
        <v>1680774</v>
      </c>
      <c r="F492">
        <v>1168819</v>
      </c>
      <c r="G492">
        <v>0</v>
      </c>
      <c r="H492">
        <v>319370</v>
      </c>
      <c r="I492">
        <f>E492/H492</f>
        <v>5.2627798478254064</v>
      </c>
    </row>
    <row r="493" spans="1:9" x14ac:dyDescent="0.25">
      <c r="A493" t="s">
        <v>218</v>
      </c>
      <c r="B493" t="s">
        <v>219</v>
      </c>
      <c r="C493">
        <v>1272960</v>
      </c>
      <c r="D493">
        <v>406710</v>
      </c>
      <c r="E493">
        <v>5667513</v>
      </c>
      <c r="F493">
        <v>5330708</v>
      </c>
      <c r="G493">
        <v>743710</v>
      </c>
      <c r="H493">
        <v>1078771</v>
      </c>
      <c r="I493">
        <f>E493/H493</f>
        <v>5.2536757106003034</v>
      </c>
    </row>
    <row r="494" spans="1:9" x14ac:dyDescent="0.25">
      <c r="A494" t="s">
        <v>896</v>
      </c>
      <c r="B494" t="s">
        <v>1145</v>
      </c>
      <c r="C494">
        <v>0</v>
      </c>
      <c r="D494">
        <v>0</v>
      </c>
      <c r="E494">
        <v>1278756</v>
      </c>
      <c r="F494">
        <v>1101774</v>
      </c>
      <c r="G494">
        <v>0</v>
      </c>
      <c r="H494">
        <v>244588</v>
      </c>
      <c r="I494">
        <f>E494/H494</f>
        <v>5.228204163736569</v>
      </c>
    </row>
    <row r="495" spans="1:9" x14ac:dyDescent="0.25">
      <c r="A495" t="s">
        <v>897</v>
      </c>
      <c r="B495" t="s">
        <v>1132</v>
      </c>
      <c r="C495">
        <v>0</v>
      </c>
      <c r="D495">
        <v>0</v>
      </c>
      <c r="E495">
        <v>1278756</v>
      </c>
      <c r="F495">
        <v>1101774</v>
      </c>
      <c r="G495">
        <v>0</v>
      </c>
      <c r="H495">
        <v>244588</v>
      </c>
      <c r="I495">
        <f>E495/H495</f>
        <v>5.228204163736569</v>
      </c>
    </row>
    <row r="496" spans="1:9" x14ac:dyDescent="0.25">
      <c r="A496" t="s">
        <v>216</v>
      </c>
      <c r="B496" t="s">
        <v>217</v>
      </c>
      <c r="C496">
        <v>1272960</v>
      </c>
      <c r="D496">
        <v>400109</v>
      </c>
      <c r="E496">
        <v>5345895</v>
      </c>
      <c r="F496">
        <v>4937998</v>
      </c>
      <c r="G496">
        <v>725462</v>
      </c>
      <c r="H496">
        <v>1037247</v>
      </c>
      <c r="I496">
        <f>E496/H496</f>
        <v>5.1539266924850109</v>
      </c>
    </row>
    <row r="497" spans="1:9" x14ac:dyDescent="0.25">
      <c r="A497" t="s">
        <v>878</v>
      </c>
      <c r="B497" t="s">
        <v>1133</v>
      </c>
      <c r="C497">
        <v>0</v>
      </c>
      <c r="D497">
        <v>0</v>
      </c>
      <c r="E497">
        <v>2078210</v>
      </c>
      <c r="F497">
        <v>2367306</v>
      </c>
      <c r="G497">
        <v>0</v>
      </c>
      <c r="H497">
        <v>406857</v>
      </c>
      <c r="I497">
        <f>E497/H497</f>
        <v>5.1079617654360128</v>
      </c>
    </row>
    <row r="498" spans="1:9" x14ac:dyDescent="0.25">
      <c r="A498" t="s">
        <v>238</v>
      </c>
      <c r="B498" t="s">
        <v>239</v>
      </c>
      <c r="C498">
        <v>696805</v>
      </c>
      <c r="D498">
        <v>0</v>
      </c>
      <c r="E498">
        <v>3717738</v>
      </c>
      <c r="F498">
        <v>4652592</v>
      </c>
      <c r="G498">
        <v>864611</v>
      </c>
      <c r="H498">
        <v>735642</v>
      </c>
      <c r="I498">
        <f>E498/H498</f>
        <v>5.0537326580048445</v>
      </c>
    </row>
    <row r="499" spans="1:9" x14ac:dyDescent="0.25">
      <c r="A499" t="s">
        <v>234</v>
      </c>
      <c r="B499" t="s">
        <v>235</v>
      </c>
      <c r="C499">
        <v>919232</v>
      </c>
      <c r="D499">
        <v>0</v>
      </c>
      <c r="E499">
        <v>3690707</v>
      </c>
      <c r="F499">
        <v>4872153</v>
      </c>
      <c r="G499">
        <v>862003</v>
      </c>
      <c r="H499">
        <v>733303</v>
      </c>
      <c r="I499">
        <f>E499/H499</f>
        <v>5.0329904555142964</v>
      </c>
    </row>
    <row r="500" spans="1:9" x14ac:dyDescent="0.25">
      <c r="A500" t="s">
        <v>164</v>
      </c>
      <c r="B500" t="s">
        <v>165</v>
      </c>
      <c r="C500">
        <v>337253</v>
      </c>
      <c r="D500">
        <v>0</v>
      </c>
      <c r="E500">
        <v>1306480</v>
      </c>
      <c r="F500">
        <v>1522450</v>
      </c>
      <c r="G500">
        <v>253689</v>
      </c>
      <c r="H500">
        <v>265576</v>
      </c>
      <c r="I500">
        <f>E500/H500</f>
        <v>4.9194204295568875</v>
      </c>
    </row>
    <row r="501" spans="1:9" x14ac:dyDescent="0.25">
      <c r="A501" t="s">
        <v>194</v>
      </c>
      <c r="B501" t="s">
        <v>195</v>
      </c>
      <c r="C501">
        <v>671340</v>
      </c>
      <c r="D501">
        <v>0</v>
      </c>
      <c r="E501">
        <v>2021790</v>
      </c>
      <c r="F501">
        <v>2199536</v>
      </c>
      <c r="G501">
        <v>0</v>
      </c>
      <c r="H501">
        <v>415934</v>
      </c>
      <c r="I501">
        <f>E501/H501</f>
        <v>4.8608433068708017</v>
      </c>
    </row>
    <row r="502" spans="1:9" x14ac:dyDescent="0.25">
      <c r="A502" t="s">
        <v>374</v>
      </c>
      <c r="B502" t="s">
        <v>375</v>
      </c>
      <c r="C502">
        <v>557335</v>
      </c>
      <c r="D502">
        <v>0</v>
      </c>
      <c r="E502">
        <v>1503673</v>
      </c>
      <c r="F502">
        <v>1339741</v>
      </c>
      <c r="G502">
        <v>0</v>
      </c>
      <c r="H502">
        <v>310795</v>
      </c>
      <c r="I502">
        <f>E502/H502</f>
        <v>4.838150549397513</v>
      </c>
    </row>
    <row r="503" spans="1:9" x14ac:dyDescent="0.25">
      <c r="A503" t="s">
        <v>376</v>
      </c>
      <c r="B503" t="s">
        <v>377</v>
      </c>
      <c r="C503">
        <v>557335</v>
      </c>
      <c r="D503">
        <v>0</v>
      </c>
      <c r="E503">
        <v>1503673</v>
      </c>
      <c r="F503">
        <v>1339741</v>
      </c>
      <c r="G503">
        <v>0</v>
      </c>
      <c r="H503">
        <v>310795</v>
      </c>
      <c r="I503">
        <f>E503/H503</f>
        <v>4.838150549397513</v>
      </c>
    </row>
    <row r="504" spans="1:9" x14ac:dyDescent="0.25">
      <c r="A504" t="s">
        <v>190</v>
      </c>
      <c r="B504" t="s">
        <v>191</v>
      </c>
      <c r="C504">
        <v>671340</v>
      </c>
      <c r="D504">
        <v>0</v>
      </c>
      <c r="E504">
        <v>2011063</v>
      </c>
      <c r="F504">
        <v>2136864</v>
      </c>
      <c r="G504">
        <v>0</v>
      </c>
      <c r="H504">
        <v>415934</v>
      </c>
      <c r="I504">
        <f>E504/H504</f>
        <v>4.8350531574720987</v>
      </c>
    </row>
    <row r="505" spans="1:9" x14ac:dyDescent="0.25">
      <c r="A505" t="s">
        <v>192</v>
      </c>
      <c r="B505" t="s">
        <v>193</v>
      </c>
      <c r="C505">
        <v>671340</v>
      </c>
      <c r="D505">
        <v>0</v>
      </c>
      <c r="E505">
        <v>2011063</v>
      </c>
      <c r="F505">
        <v>2136864</v>
      </c>
      <c r="G505">
        <v>0</v>
      </c>
      <c r="H505">
        <v>415934</v>
      </c>
      <c r="I505">
        <f>E505/H505</f>
        <v>4.8350531574720987</v>
      </c>
    </row>
    <row r="506" spans="1:9" x14ac:dyDescent="0.25">
      <c r="A506" t="s">
        <v>876</v>
      </c>
      <c r="B506" t="s">
        <v>1131</v>
      </c>
      <c r="C506">
        <v>0</v>
      </c>
      <c r="D506">
        <v>0</v>
      </c>
      <c r="E506">
        <v>1925201</v>
      </c>
      <c r="F506">
        <v>2256094</v>
      </c>
      <c r="G506">
        <v>0</v>
      </c>
      <c r="H506">
        <v>406857</v>
      </c>
      <c r="I506">
        <f>E506/H506</f>
        <v>4.7318861418139546</v>
      </c>
    </row>
    <row r="507" spans="1:9" x14ac:dyDescent="0.25">
      <c r="A507" t="s">
        <v>877</v>
      </c>
      <c r="B507" t="s">
        <v>1132</v>
      </c>
      <c r="C507">
        <v>0</v>
      </c>
      <c r="D507">
        <v>0</v>
      </c>
      <c r="E507">
        <v>1925201</v>
      </c>
      <c r="F507">
        <v>2256094</v>
      </c>
      <c r="G507">
        <v>0</v>
      </c>
      <c r="H507">
        <v>406857</v>
      </c>
      <c r="I507">
        <f>E507/H507</f>
        <v>4.7318861418139546</v>
      </c>
    </row>
    <row r="508" spans="1:9" x14ac:dyDescent="0.25">
      <c r="A508" t="s">
        <v>284</v>
      </c>
      <c r="B508" t="s">
        <v>285</v>
      </c>
      <c r="C508">
        <v>578474</v>
      </c>
      <c r="D508">
        <v>0</v>
      </c>
      <c r="E508">
        <v>1782558</v>
      </c>
      <c r="F508">
        <v>1523049</v>
      </c>
      <c r="G508">
        <v>0</v>
      </c>
      <c r="H508">
        <v>419135</v>
      </c>
      <c r="I508">
        <f>E508/H508</f>
        <v>4.2529447552697821</v>
      </c>
    </row>
    <row r="509" spans="1:9" x14ac:dyDescent="0.25">
      <c r="A509" t="s">
        <v>288</v>
      </c>
      <c r="B509" t="s">
        <v>289</v>
      </c>
      <c r="C509">
        <v>569348</v>
      </c>
      <c r="D509">
        <v>0</v>
      </c>
      <c r="E509">
        <v>1709327</v>
      </c>
      <c r="F509">
        <v>1437036</v>
      </c>
      <c r="G509">
        <v>0</v>
      </c>
      <c r="H509">
        <v>415564</v>
      </c>
      <c r="I509">
        <f>E509/H509</f>
        <v>4.113270158146519</v>
      </c>
    </row>
    <row r="510" spans="1:9" x14ac:dyDescent="0.25">
      <c r="A510" t="s">
        <v>290</v>
      </c>
      <c r="B510" t="s">
        <v>291</v>
      </c>
      <c r="C510">
        <v>569348</v>
      </c>
      <c r="D510">
        <v>0</v>
      </c>
      <c r="E510">
        <v>1709327</v>
      </c>
      <c r="F510">
        <v>1437036</v>
      </c>
      <c r="G510">
        <v>0</v>
      </c>
      <c r="H510">
        <v>415564</v>
      </c>
      <c r="I510">
        <f>E510/H510</f>
        <v>4.113270158146519</v>
      </c>
    </row>
    <row r="511" spans="1:9" x14ac:dyDescent="0.25">
      <c r="A511" t="s">
        <v>101</v>
      </c>
      <c r="B511" t="s">
        <v>102</v>
      </c>
      <c r="C511">
        <v>1024358</v>
      </c>
      <c r="D511">
        <v>0</v>
      </c>
      <c r="E511">
        <v>2564197</v>
      </c>
      <c r="F511">
        <v>2830491</v>
      </c>
      <c r="G511">
        <v>0</v>
      </c>
      <c r="H511">
        <v>651742</v>
      </c>
      <c r="I511">
        <f>E511/H511</f>
        <v>3.9343743383117857</v>
      </c>
    </row>
    <row r="512" spans="1:9" x14ac:dyDescent="0.25">
      <c r="A512" t="s">
        <v>474</v>
      </c>
      <c r="B512" t="s">
        <v>475</v>
      </c>
      <c r="C512">
        <v>391158</v>
      </c>
      <c r="D512">
        <v>0</v>
      </c>
      <c r="E512">
        <v>1771201</v>
      </c>
      <c r="F512">
        <v>1644448</v>
      </c>
      <c r="G512">
        <v>0</v>
      </c>
      <c r="H512">
        <v>458482</v>
      </c>
      <c r="I512">
        <f>E512/H512</f>
        <v>3.8631854685680134</v>
      </c>
    </row>
    <row r="513" spans="1:9" x14ac:dyDescent="0.25">
      <c r="A513" t="s">
        <v>97</v>
      </c>
      <c r="B513" t="s">
        <v>98</v>
      </c>
      <c r="C513">
        <v>1024358</v>
      </c>
      <c r="D513">
        <v>0</v>
      </c>
      <c r="E513">
        <v>2465483</v>
      </c>
      <c r="F513">
        <v>2723741</v>
      </c>
      <c r="G513">
        <v>0</v>
      </c>
      <c r="H513">
        <v>648980</v>
      </c>
      <c r="I513">
        <f>E513/H513</f>
        <v>3.7990122962186814</v>
      </c>
    </row>
    <row r="514" spans="1:9" x14ac:dyDescent="0.25">
      <c r="A514" t="s">
        <v>99</v>
      </c>
      <c r="B514" t="s">
        <v>100</v>
      </c>
      <c r="C514">
        <v>1024358</v>
      </c>
      <c r="D514">
        <v>0</v>
      </c>
      <c r="E514">
        <v>2465483</v>
      </c>
      <c r="F514">
        <v>2723741</v>
      </c>
      <c r="G514">
        <v>0</v>
      </c>
      <c r="H514">
        <v>648980</v>
      </c>
      <c r="I514">
        <f>E514/H514</f>
        <v>3.7990122962186814</v>
      </c>
    </row>
    <row r="515" spans="1:9" x14ac:dyDescent="0.25">
      <c r="A515" t="s">
        <v>470</v>
      </c>
      <c r="B515" t="s">
        <v>471</v>
      </c>
      <c r="C515">
        <v>391158</v>
      </c>
      <c r="D515">
        <v>0</v>
      </c>
      <c r="E515">
        <v>1706923</v>
      </c>
      <c r="F515">
        <v>1455664</v>
      </c>
      <c r="G515">
        <v>0</v>
      </c>
      <c r="H515">
        <v>449394</v>
      </c>
      <c r="I515">
        <f>E515/H515</f>
        <v>3.7982772355661178</v>
      </c>
    </row>
    <row r="516" spans="1:9" x14ac:dyDescent="0.25">
      <c r="A516" t="s">
        <v>472</v>
      </c>
      <c r="B516" t="s">
        <v>473</v>
      </c>
      <c r="C516">
        <v>391158</v>
      </c>
      <c r="D516">
        <v>0</v>
      </c>
      <c r="E516">
        <v>1706923</v>
      </c>
      <c r="F516">
        <v>1455664</v>
      </c>
      <c r="G516">
        <v>0</v>
      </c>
      <c r="H516">
        <v>449394</v>
      </c>
      <c r="I516">
        <f>E516/H516</f>
        <v>3.7982772355661178</v>
      </c>
    </row>
    <row r="517" spans="1:9" x14ac:dyDescent="0.25">
      <c r="A517" t="s">
        <v>236</v>
      </c>
      <c r="B517" t="s">
        <v>237</v>
      </c>
      <c r="C517">
        <v>1453783</v>
      </c>
      <c r="D517">
        <v>873830</v>
      </c>
      <c r="E517">
        <v>5569601</v>
      </c>
      <c r="F517">
        <v>5442477</v>
      </c>
      <c r="G517">
        <v>1037144</v>
      </c>
      <c r="H517">
        <v>1497392</v>
      </c>
      <c r="I517">
        <f>E517/H517</f>
        <v>3.7195343637471017</v>
      </c>
    </row>
    <row r="518" spans="1:9" x14ac:dyDescent="0.25">
      <c r="A518" t="s">
        <v>47</v>
      </c>
      <c r="B518" t="s">
        <v>48</v>
      </c>
      <c r="C518">
        <v>265964</v>
      </c>
      <c r="D518">
        <v>65914</v>
      </c>
      <c r="E518">
        <v>1067054</v>
      </c>
      <c r="F518">
        <v>1058356</v>
      </c>
      <c r="G518">
        <v>406449</v>
      </c>
      <c r="H518">
        <v>291202</v>
      </c>
      <c r="I518">
        <f>E518/H518</f>
        <v>3.6643086242539544</v>
      </c>
    </row>
    <row r="519" spans="1:9" x14ac:dyDescent="0.25">
      <c r="A519" t="s">
        <v>208</v>
      </c>
      <c r="B519" t="s">
        <v>209</v>
      </c>
      <c r="C519">
        <v>1572454</v>
      </c>
      <c r="D519">
        <v>956440</v>
      </c>
      <c r="E519">
        <v>5818105</v>
      </c>
      <c r="F519">
        <v>5848817</v>
      </c>
      <c r="G519">
        <v>1156566</v>
      </c>
      <c r="H519">
        <v>1634126</v>
      </c>
      <c r="I519">
        <f>E519/H519</f>
        <v>3.5603772291732705</v>
      </c>
    </row>
    <row r="520" spans="1:9" x14ac:dyDescent="0.25">
      <c r="A520" t="s">
        <v>206</v>
      </c>
      <c r="B520" t="s">
        <v>207</v>
      </c>
      <c r="C520">
        <v>1572454</v>
      </c>
      <c r="D520">
        <v>956440</v>
      </c>
      <c r="E520">
        <v>5811202</v>
      </c>
      <c r="F520">
        <v>5842132</v>
      </c>
      <c r="G520">
        <v>1156566</v>
      </c>
      <c r="H520">
        <v>1634126</v>
      </c>
      <c r="I520">
        <f>E520/H520</f>
        <v>3.5561529527098887</v>
      </c>
    </row>
    <row r="521" spans="1:9" x14ac:dyDescent="0.25">
      <c r="A521" t="s">
        <v>198</v>
      </c>
      <c r="B521" t="s">
        <v>199</v>
      </c>
      <c r="C521">
        <v>507129</v>
      </c>
      <c r="D521">
        <v>220140</v>
      </c>
      <c r="E521">
        <v>1956399</v>
      </c>
      <c r="F521">
        <v>1832704</v>
      </c>
      <c r="G521">
        <v>270829</v>
      </c>
      <c r="H521">
        <v>571141</v>
      </c>
      <c r="I521">
        <f>E521/H521</f>
        <v>3.4254220936686388</v>
      </c>
    </row>
    <row r="522" spans="1:9" x14ac:dyDescent="0.25">
      <c r="A522" t="s">
        <v>196</v>
      </c>
      <c r="B522" t="s">
        <v>197</v>
      </c>
      <c r="C522">
        <v>503122</v>
      </c>
      <c r="D522">
        <v>218700</v>
      </c>
      <c r="E522">
        <v>1925379</v>
      </c>
      <c r="F522">
        <v>1761538</v>
      </c>
      <c r="G522">
        <v>270829</v>
      </c>
      <c r="H522">
        <v>562864</v>
      </c>
      <c r="I522">
        <f>E522/H522</f>
        <v>3.4206824383865375</v>
      </c>
    </row>
    <row r="523" spans="1:9" x14ac:dyDescent="0.25">
      <c r="A523" t="s">
        <v>336</v>
      </c>
      <c r="B523" t="s">
        <v>337</v>
      </c>
      <c r="C523">
        <v>275673</v>
      </c>
      <c r="D523">
        <v>0</v>
      </c>
      <c r="E523">
        <v>1060033</v>
      </c>
      <c r="F523">
        <v>1093863</v>
      </c>
      <c r="G523">
        <v>0</v>
      </c>
      <c r="H523">
        <v>311013</v>
      </c>
      <c r="I523">
        <f>E523/H523</f>
        <v>3.4083237678167793</v>
      </c>
    </row>
    <row r="524" spans="1:9" x14ac:dyDescent="0.25">
      <c r="A524" t="s">
        <v>31</v>
      </c>
      <c r="B524" t="s">
        <v>32</v>
      </c>
      <c r="C524">
        <v>395621</v>
      </c>
      <c r="D524">
        <v>123073</v>
      </c>
      <c r="E524">
        <v>1430217</v>
      </c>
      <c r="F524">
        <v>1421939</v>
      </c>
      <c r="G524">
        <v>464615</v>
      </c>
      <c r="H524">
        <v>421295</v>
      </c>
      <c r="I524">
        <f>E524/H524</f>
        <v>3.3948112367818273</v>
      </c>
    </row>
    <row r="525" spans="1:9" x14ac:dyDescent="0.25">
      <c r="A525" t="s">
        <v>210</v>
      </c>
      <c r="B525" t="s">
        <v>211</v>
      </c>
      <c r="C525">
        <v>1580251</v>
      </c>
      <c r="D525">
        <v>843521</v>
      </c>
      <c r="E525">
        <v>5577848</v>
      </c>
      <c r="F525">
        <v>5482418</v>
      </c>
      <c r="G525">
        <v>917649</v>
      </c>
      <c r="H525">
        <v>1730479</v>
      </c>
      <c r="I525">
        <f>E525/H525</f>
        <v>3.2232971333370704</v>
      </c>
    </row>
    <row r="526" spans="1:9" x14ac:dyDescent="0.25">
      <c r="A526" t="s">
        <v>912</v>
      </c>
      <c r="B526" t="s">
        <v>1153</v>
      </c>
      <c r="C526">
        <v>0</v>
      </c>
      <c r="D526">
        <v>0</v>
      </c>
      <c r="E526">
        <v>843522</v>
      </c>
      <c r="F526">
        <v>803413</v>
      </c>
      <c r="G526">
        <v>0</v>
      </c>
      <c r="H526">
        <v>306615</v>
      </c>
      <c r="I526">
        <f>E526/H526</f>
        <v>2.7510787143486133</v>
      </c>
    </row>
    <row r="527" spans="1:9" x14ac:dyDescent="0.25">
      <c r="A527" t="s">
        <v>916</v>
      </c>
      <c r="B527" t="s">
        <v>1153</v>
      </c>
      <c r="C527">
        <v>0</v>
      </c>
      <c r="D527">
        <v>0</v>
      </c>
      <c r="E527">
        <v>839388</v>
      </c>
      <c r="F527">
        <v>782071</v>
      </c>
      <c r="G527">
        <v>0</v>
      </c>
      <c r="H527">
        <v>306615</v>
      </c>
      <c r="I527">
        <f>E527/H527</f>
        <v>2.737596008023091</v>
      </c>
    </row>
    <row r="528" spans="1:9" x14ac:dyDescent="0.25">
      <c r="A528" t="s">
        <v>986</v>
      </c>
      <c r="B528" t="s">
        <v>1201</v>
      </c>
      <c r="C528">
        <v>0</v>
      </c>
      <c r="D528">
        <v>0</v>
      </c>
      <c r="E528">
        <v>91502</v>
      </c>
      <c r="F528">
        <v>37604</v>
      </c>
      <c r="G528">
        <v>41566</v>
      </c>
      <c r="H528">
        <v>49156</v>
      </c>
      <c r="I528">
        <f>E528/H528</f>
        <v>1.8614614696069656</v>
      </c>
    </row>
    <row r="529" spans="1:9" x14ac:dyDescent="0.25">
      <c r="A529" t="s">
        <v>836</v>
      </c>
      <c r="B529" t="s">
        <v>1108</v>
      </c>
      <c r="C529">
        <v>0</v>
      </c>
      <c r="D529">
        <v>208189</v>
      </c>
      <c r="E529">
        <v>472543</v>
      </c>
      <c r="F529">
        <v>436986</v>
      </c>
      <c r="G529">
        <v>0</v>
      </c>
      <c r="H529">
        <v>286295</v>
      </c>
      <c r="I529">
        <f>E529/H529</f>
        <v>1.6505457657311515</v>
      </c>
    </row>
    <row r="530" spans="1:9" x14ac:dyDescent="0.25">
      <c r="A530" t="s">
        <v>834</v>
      </c>
      <c r="B530" t="s">
        <v>1108</v>
      </c>
      <c r="C530">
        <v>0</v>
      </c>
      <c r="D530">
        <v>237393</v>
      </c>
      <c r="E530">
        <v>491745</v>
      </c>
      <c r="F530">
        <v>464606</v>
      </c>
      <c r="G530">
        <v>0</v>
      </c>
      <c r="H530">
        <v>311620</v>
      </c>
      <c r="I530">
        <f>E530/H530</f>
        <v>1.5780277260766318</v>
      </c>
    </row>
    <row r="531" spans="1:9" x14ac:dyDescent="0.25">
      <c r="A531" t="s">
        <v>899</v>
      </c>
      <c r="B531" t="s">
        <v>1147</v>
      </c>
      <c r="C531">
        <v>0</v>
      </c>
      <c r="D531">
        <v>0</v>
      </c>
      <c r="E531">
        <v>60447</v>
      </c>
      <c r="F531">
        <v>0</v>
      </c>
      <c r="G531">
        <v>37414</v>
      </c>
      <c r="H531">
        <v>39151</v>
      </c>
      <c r="I531">
        <f>E531/H531</f>
        <v>1.543945237669536</v>
      </c>
    </row>
    <row r="532" spans="1:9" x14ac:dyDescent="0.25">
      <c r="A532" t="s">
        <v>900</v>
      </c>
      <c r="B532" t="s">
        <v>1147</v>
      </c>
      <c r="C532">
        <v>0</v>
      </c>
      <c r="D532">
        <v>0</v>
      </c>
      <c r="E532">
        <v>60447</v>
      </c>
      <c r="F532">
        <v>0</v>
      </c>
      <c r="G532">
        <v>37414</v>
      </c>
      <c r="H532">
        <v>39151</v>
      </c>
      <c r="I532">
        <f>E532/H532</f>
        <v>1.543945237669536</v>
      </c>
    </row>
    <row r="533" spans="1:9" x14ac:dyDescent="0.25">
      <c r="A533" t="s">
        <v>901</v>
      </c>
      <c r="B533" t="s">
        <v>1147</v>
      </c>
      <c r="C533">
        <v>0</v>
      </c>
      <c r="D533">
        <v>0</v>
      </c>
      <c r="E533">
        <v>60447</v>
      </c>
      <c r="F533">
        <v>0</v>
      </c>
      <c r="G533">
        <v>38628</v>
      </c>
      <c r="H533">
        <v>39151</v>
      </c>
      <c r="I533">
        <f>E533/H533</f>
        <v>1.543945237669536</v>
      </c>
    </row>
    <row r="534" spans="1:9" x14ac:dyDescent="0.25">
      <c r="A534" t="s">
        <v>170</v>
      </c>
      <c r="B534" t="s">
        <v>171</v>
      </c>
      <c r="C534">
        <v>1030625</v>
      </c>
      <c r="D534">
        <v>595221</v>
      </c>
      <c r="E534">
        <v>827497</v>
      </c>
      <c r="F534">
        <v>0</v>
      </c>
      <c r="G534">
        <v>607564</v>
      </c>
      <c r="H534">
        <v>541155</v>
      </c>
      <c r="I534">
        <f>E534/H534</f>
        <v>1.5291312100969223</v>
      </c>
    </row>
    <row r="535" spans="1:9" x14ac:dyDescent="0.25">
      <c r="A535" t="s">
        <v>168</v>
      </c>
      <c r="B535" t="s">
        <v>169</v>
      </c>
      <c r="C535">
        <v>1017941</v>
      </c>
      <c r="D535">
        <v>593504</v>
      </c>
      <c r="E535">
        <v>821141</v>
      </c>
      <c r="F535">
        <v>0</v>
      </c>
      <c r="G535">
        <v>589369</v>
      </c>
      <c r="H535">
        <v>541155</v>
      </c>
      <c r="I535">
        <f>E535/H535</f>
        <v>1.5173859615082554</v>
      </c>
    </row>
    <row r="536" spans="1:9" x14ac:dyDescent="0.25">
      <c r="A536" t="s">
        <v>833</v>
      </c>
      <c r="B536" t="s">
        <v>1108</v>
      </c>
      <c r="C536">
        <v>0</v>
      </c>
      <c r="D536">
        <v>237393</v>
      </c>
      <c r="E536">
        <v>472543</v>
      </c>
      <c r="F536">
        <v>450323</v>
      </c>
      <c r="G536">
        <v>0</v>
      </c>
      <c r="H536">
        <v>311620</v>
      </c>
      <c r="I536">
        <f>E536/H536</f>
        <v>1.5164078043771261</v>
      </c>
    </row>
    <row r="537" spans="1:9" x14ac:dyDescent="0.25">
      <c r="A537" t="s">
        <v>384</v>
      </c>
      <c r="B537" t="s">
        <v>385</v>
      </c>
      <c r="C537">
        <v>998172</v>
      </c>
      <c r="D537">
        <v>552383</v>
      </c>
      <c r="E537">
        <v>1279168</v>
      </c>
      <c r="F537">
        <v>1056115</v>
      </c>
      <c r="G537">
        <v>665929</v>
      </c>
      <c r="H537">
        <v>957460</v>
      </c>
      <c r="I537">
        <f>E537/H537</f>
        <v>1.3360015039792785</v>
      </c>
    </row>
    <row r="538" spans="1:9" x14ac:dyDescent="0.25">
      <c r="A538" t="s">
        <v>386</v>
      </c>
      <c r="B538" t="s">
        <v>387</v>
      </c>
      <c r="C538">
        <v>998172</v>
      </c>
      <c r="D538">
        <v>552383</v>
      </c>
      <c r="E538">
        <v>1279168</v>
      </c>
      <c r="F538">
        <v>1056115</v>
      </c>
      <c r="G538">
        <v>665929</v>
      </c>
      <c r="H538">
        <v>957460</v>
      </c>
      <c r="I538">
        <f>E538/H538</f>
        <v>1.3360015039792785</v>
      </c>
    </row>
    <row r="539" spans="1:9" x14ac:dyDescent="0.25">
      <c r="A539" t="s">
        <v>388</v>
      </c>
      <c r="B539" t="s">
        <v>385</v>
      </c>
      <c r="C539">
        <v>998172</v>
      </c>
      <c r="D539">
        <v>552383</v>
      </c>
      <c r="E539">
        <v>1279168</v>
      </c>
      <c r="F539">
        <v>1057230</v>
      </c>
      <c r="G539">
        <v>665929</v>
      </c>
      <c r="H539">
        <v>957460</v>
      </c>
      <c r="I539">
        <f>E539/H539</f>
        <v>1.3360015039792785</v>
      </c>
    </row>
    <row r="540" spans="1:9" x14ac:dyDescent="0.25">
      <c r="A540" t="s">
        <v>312</v>
      </c>
      <c r="B540" t="s">
        <v>283</v>
      </c>
      <c r="C540">
        <v>1138970</v>
      </c>
      <c r="D540">
        <v>686652</v>
      </c>
      <c r="E540">
        <v>1292401</v>
      </c>
      <c r="F540">
        <v>1142645</v>
      </c>
      <c r="G540">
        <v>782936</v>
      </c>
      <c r="H540">
        <v>1079310</v>
      </c>
      <c r="I540">
        <f>E540/H540</f>
        <v>1.1974326189880571</v>
      </c>
    </row>
    <row r="541" spans="1:9" x14ac:dyDescent="0.25">
      <c r="A541" t="s">
        <v>348</v>
      </c>
      <c r="B541" t="s">
        <v>349</v>
      </c>
      <c r="C541">
        <v>1110037</v>
      </c>
      <c r="D541">
        <v>663426</v>
      </c>
      <c r="E541">
        <v>1283782</v>
      </c>
      <c r="F541">
        <v>1142645</v>
      </c>
      <c r="G541">
        <v>760063</v>
      </c>
      <c r="H541">
        <v>1079310</v>
      </c>
      <c r="I541">
        <f>E541/H541</f>
        <v>1.1894469614846521</v>
      </c>
    </row>
    <row r="542" spans="1:9" x14ac:dyDescent="0.25">
      <c r="A542" t="s">
        <v>350</v>
      </c>
      <c r="B542" t="s">
        <v>351</v>
      </c>
      <c r="C542">
        <v>1110037</v>
      </c>
      <c r="D542">
        <v>663426</v>
      </c>
      <c r="E542">
        <v>1242070</v>
      </c>
      <c r="F542">
        <v>1140550</v>
      </c>
      <c r="G542">
        <v>760063</v>
      </c>
      <c r="H542">
        <v>1048046</v>
      </c>
      <c r="I542">
        <f>E542/H542</f>
        <v>1.1851292786766994</v>
      </c>
    </row>
    <row r="543" spans="1:9" x14ac:dyDescent="0.25">
      <c r="A543" t="s">
        <v>272</v>
      </c>
      <c r="B543" t="s">
        <v>273</v>
      </c>
      <c r="C543">
        <v>829890</v>
      </c>
      <c r="D543">
        <v>367886</v>
      </c>
      <c r="E543">
        <v>409671</v>
      </c>
      <c r="F543">
        <v>0</v>
      </c>
      <c r="G543">
        <v>344900</v>
      </c>
      <c r="H543">
        <v>349769</v>
      </c>
      <c r="I543">
        <f>E543/H543</f>
        <v>1.171261604087269</v>
      </c>
    </row>
    <row r="544" spans="1:9" x14ac:dyDescent="0.25">
      <c r="A544" t="s">
        <v>282</v>
      </c>
      <c r="B544" t="s">
        <v>283</v>
      </c>
      <c r="C544">
        <v>1281406</v>
      </c>
      <c r="D544">
        <v>686652</v>
      </c>
      <c r="E544">
        <v>1289508</v>
      </c>
      <c r="F544">
        <v>1168750</v>
      </c>
      <c r="G544">
        <v>819861</v>
      </c>
      <c r="H544">
        <v>1104349</v>
      </c>
      <c r="I544">
        <f>E544/H544</f>
        <v>1.1676634831923605</v>
      </c>
    </row>
    <row r="545" spans="1:9" x14ac:dyDescent="0.25">
      <c r="A545" t="s">
        <v>317</v>
      </c>
      <c r="B545" t="s">
        <v>283</v>
      </c>
      <c r="C545">
        <v>1206871</v>
      </c>
      <c r="D545">
        <v>663426</v>
      </c>
      <c r="E545">
        <v>1283782</v>
      </c>
      <c r="F545">
        <v>1168750</v>
      </c>
      <c r="G545">
        <v>796988</v>
      </c>
      <c r="H545">
        <v>1104349</v>
      </c>
      <c r="I545">
        <f>E545/H545</f>
        <v>1.1624785280740055</v>
      </c>
    </row>
    <row r="546" spans="1:9" x14ac:dyDescent="0.25">
      <c r="A546" t="s">
        <v>266</v>
      </c>
      <c r="B546" t="s">
        <v>267</v>
      </c>
      <c r="C546">
        <v>1396373</v>
      </c>
      <c r="D546">
        <v>741590</v>
      </c>
      <c r="E546">
        <v>1414667</v>
      </c>
      <c r="F546">
        <v>1296479</v>
      </c>
      <c r="G546">
        <v>873969</v>
      </c>
      <c r="H546">
        <v>1312578</v>
      </c>
      <c r="I546">
        <f>E546/H546</f>
        <v>1.0777774730339835</v>
      </c>
    </row>
    <row r="547" spans="1:9" x14ac:dyDescent="0.25">
      <c r="A547" t="s">
        <v>240</v>
      </c>
      <c r="B547" t="s">
        <v>241</v>
      </c>
      <c r="C547">
        <v>1476196</v>
      </c>
      <c r="D547">
        <v>830907</v>
      </c>
      <c r="E547">
        <v>1423286</v>
      </c>
      <c r="F547">
        <v>1296479</v>
      </c>
      <c r="G547">
        <v>938898</v>
      </c>
      <c r="H547">
        <v>1364313</v>
      </c>
      <c r="I547">
        <f>E547/H547</f>
        <v>1.0432254182141487</v>
      </c>
    </row>
    <row r="548" spans="1:9" x14ac:dyDescent="0.25">
      <c r="A548" t="s">
        <v>242</v>
      </c>
      <c r="B548" t="s">
        <v>243</v>
      </c>
      <c r="C548">
        <v>1476196</v>
      </c>
      <c r="D548">
        <v>830907</v>
      </c>
      <c r="E548">
        <v>1423286</v>
      </c>
      <c r="F548">
        <v>1296479</v>
      </c>
      <c r="G548">
        <v>938898</v>
      </c>
      <c r="H548">
        <v>1364313</v>
      </c>
      <c r="I548">
        <f>E548/H548</f>
        <v>1.0432254182141487</v>
      </c>
    </row>
    <row r="549" spans="1:9" x14ac:dyDescent="0.25">
      <c r="A549" t="s">
        <v>244</v>
      </c>
      <c r="B549" t="s">
        <v>245</v>
      </c>
      <c r="C549">
        <v>1581146</v>
      </c>
      <c r="D549">
        <v>892609</v>
      </c>
      <c r="E549">
        <v>1516689</v>
      </c>
      <c r="F549">
        <v>1364613</v>
      </c>
      <c r="G549">
        <v>951365</v>
      </c>
      <c r="H549">
        <v>1470832</v>
      </c>
      <c r="I549">
        <f>E549/H549</f>
        <v>1.0311775920023496</v>
      </c>
    </row>
    <row r="550" spans="1:9" x14ac:dyDescent="0.25">
      <c r="A550" t="s">
        <v>67</v>
      </c>
      <c r="B550" t="s">
        <v>68</v>
      </c>
      <c r="C550">
        <v>2246402</v>
      </c>
      <c r="D550">
        <v>2383621</v>
      </c>
      <c r="E550">
        <v>1079927</v>
      </c>
      <c r="F550">
        <v>479880</v>
      </c>
      <c r="G550">
        <v>1353182</v>
      </c>
      <c r="H550">
        <v>1152119</v>
      </c>
      <c r="I550">
        <f>E550/H550</f>
        <v>0.93733980604434086</v>
      </c>
    </row>
    <row r="551" spans="1:9" x14ac:dyDescent="0.25">
      <c r="A551" t="s">
        <v>63</v>
      </c>
      <c r="B551" t="s">
        <v>64</v>
      </c>
      <c r="C551">
        <v>2187406</v>
      </c>
      <c r="D551">
        <v>2351285</v>
      </c>
      <c r="E551">
        <v>1056683</v>
      </c>
      <c r="F551">
        <v>418693</v>
      </c>
      <c r="G551">
        <v>1298448</v>
      </c>
      <c r="H551">
        <v>1133618</v>
      </c>
      <c r="I551">
        <f>E551/H551</f>
        <v>0.93213322300810331</v>
      </c>
    </row>
    <row r="552" spans="1:9" x14ac:dyDescent="0.25">
      <c r="A552" t="s">
        <v>65</v>
      </c>
      <c r="B552" t="s">
        <v>66</v>
      </c>
      <c r="C552">
        <v>2187406</v>
      </c>
      <c r="D552">
        <v>2351285</v>
      </c>
      <c r="E552">
        <v>1056683</v>
      </c>
      <c r="F552">
        <v>418693</v>
      </c>
      <c r="G552">
        <v>1298448</v>
      </c>
      <c r="H552">
        <v>1133618</v>
      </c>
      <c r="I552">
        <f>E552/H552</f>
        <v>0.93213322300810331</v>
      </c>
    </row>
    <row r="553" spans="1:9" x14ac:dyDescent="0.25">
      <c r="A553" t="s">
        <v>380</v>
      </c>
      <c r="B553" t="s">
        <v>381</v>
      </c>
      <c r="C553">
        <v>418758</v>
      </c>
      <c r="D553">
        <v>272269</v>
      </c>
      <c r="E553">
        <v>201008</v>
      </c>
      <c r="F553">
        <v>0</v>
      </c>
      <c r="G553">
        <v>304427</v>
      </c>
      <c r="H553">
        <v>222035</v>
      </c>
      <c r="I553">
        <f>E553/H553</f>
        <v>0.90529871416668539</v>
      </c>
    </row>
    <row r="554" spans="1:9" x14ac:dyDescent="0.25">
      <c r="A554" t="s">
        <v>382</v>
      </c>
      <c r="B554" t="s">
        <v>383</v>
      </c>
      <c r="C554">
        <v>418758</v>
      </c>
      <c r="D554">
        <v>272269</v>
      </c>
      <c r="E554">
        <v>201008</v>
      </c>
      <c r="F554">
        <v>0</v>
      </c>
      <c r="G554">
        <v>304427</v>
      </c>
      <c r="H554">
        <v>222035</v>
      </c>
      <c r="I554">
        <f>E554/H554</f>
        <v>0.90529871416668539</v>
      </c>
    </row>
    <row r="555" spans="1:9" x14ac:dyDescent="0.25">
      <c r="A555" t="s">
        <v>160</v>
      </c>
      <c r="B555" t="s">
        <v>161</v>
      </c>
      <c r="C555">
        <v>752674</v>
      </c>
      <c r="D555">
        <v>935219</v>
      </c>
      <c r="E555">
        <v>461303</v>
      </c>
      <c r="F555">
        <v>134503</v>
      </c>
      <c r="G555">
        <v>515418</v>
      </c>
      <c r="H555">
        <v>512910</v>
      </c>
      <c r="I555">
        <f>E555/H555</f>
        <v>0.89938390750813979</v>
      </c>
    </row>
    <row r="556" spans="1:9" x14ac:dyDescent="0.25">
      <c r="A556" t="s">
        <v>158</v>
      </c>
      <c r="B556" t="s">
        <v>159</v>
      </c>
      <c r="C556">
        <v>751942</v>
      </c>
      <c r="D556">
        <v>935219</v>
      </c>
      <c r="E556">
        <v>460436</v>
      </c>
      <c r="F556">
        <v>134503</v>
      </c>
      <c r="G556">
        <v>515418</v>
      </c>
      <c r="H556">
        <v>512910</v>
      </c>
      <c r="I556">
        <f>E556/H556</f>
        <v>0.89769355247509308</v>
      </c>
    </row>
    <row r="557" spans="1:9" x14ac:dyDescent="0.25">
      <c r="A557" t="s">
        <v>342</v>
      </c>
      <c r="B557" t="s">
        <v>343</v>
      </c>
      <c r="C557">
        <v>534382</v>
      </c>
      <c r="D557">
        <v>449216</v>
      </c>
      <c r="E557">
        <v>159623</v>
      </c>
      <c r="F557">
        <v>0</v>
      </c>
      <c r="G557">
        <v>167696</v>
      </c>
      <c r="H557">
        <v>195380</v>
      </c>
      <c r="I557">
        <f>E557/H557</f>
        <v>0.81698740915139723</v>
      </c>
    </row>
    <row r="558" spans="1:9" x14ac:dyDescent="0.25">
      <c r="A558" t="s">
        <v>393</v>
      </c>
      <c r="B558" t="s">
        <v>394</v>
      </c>
      <c r="C558">
        <v>408773</v>
      </c>
      <c r="D558">
        <v>449216</v>
      </c>
      <c r="E558">
        <v>146586</v>
      </c>
      <c r="F558">
        <v>0</v>
      </c>
      <c r="G558">
        <v>167696</v>
      </c>
      <c r="H558">
        <v>192270</v>
      </c>
      <c r="I558">
        <f>E558/H558</f>
        <v>0.7623966297394289</v>
      </c>
    </row>
    <row r="559" spans="1:9" x14ac:dyDescent="0.25">
      <c r="A559" t="s">
        <v>389</v>
      </c>
      <c r="B559" t="s">
        <v>390</v>
      </c>
      <c r="C559">
        <v>495579</v>
      </c>
      <c r="D559">
        <v>439240</v>
      </c>
      <c r="E559">
        <v>159623</v>
      </c>
      <c r="F559">
        <v>0</v>
      </c>
      <c r="G559">
        <v>223423</v>
      </c>
      <c r="H559">
        <v>212284</v>
      </c>
      <c r="I559">
        <f>E559/H559</f>
        <v>0.75193137495053797</v>
      </c>
    </row>
    <row r="560" spans="1:9" x14ac:dyDescent="0.25">
      <c r="A560" t="s">
        <v>220</v>
      </c>
      <c r="B560" t="s">
        <v>221</v>
      </c>
      <c r="C560">
        <v>2014183</v>
      </c>
      <c r="D560">
        <v>1509858</v>
      </c>
      <c r="E560">
        <v>1019160</v>
      </c>
      <c r="F560">
        <v>767974</v>
      </c>
      <c r="G560">
        <v>1251835</v>
      </c>
      <c r="H560">
        <v>1447651</v>
      </c>
      <c r="I560">
        <f>E560/H560</f>
        <v>0.70400946084380833</v>
      </c>
    </row>
    <row r="561" spans="1:9" x14ac:dyDescent="0.25">
      <c r="A561" t="s">
        <v>222</v>
      </c>
      <c r="B561" t="s">
        <v>223</v>
      </c>
      <c r="C561">
        <v>1939847</v>
      </c>
      <c r="D561">
        <v>1509858</v>
      </c>
      <c r="E561">
        <v>1019160</v>
      </c>
      <c r="F561">
        <v>767974</v>
      </c>
      <c r="G561">
        <v>1241874</v>
      </c>
      <c r="H561">
        <v>1447651</v>
      </c>
      <c r="I561">
        <f>E561/H561</f>
        <v>0.70400946084380833</v>
      </c>
    </row>
    <row r="562" spans="1:9" x14ac:dyDescent="0.25">
      <c r="A562" t="s">
        <v>224</v>
      </c>
      <c r="B562" t="s">
        <v>225</v>
      </c>
      <c r="C562">
        <v>2110134</v>
      </c>
      <c r="D562">
        <v>1624205</v>
      </c>
      <c r="E562">
        <v>944475</v>
      </c>
      <c r="F562">
        <v>854596</v>
      </c>
      <c r="G562">
        <v>1236212</v>
      </c>
      <c r="H562">
        <v>1385722</v>
      </c>
      <c r="I562">
        <f>E562/H562</f>
        <v>0.68157610256602696</v>
      </c>
    </row>
    <row r="563" spans="1:9" x14ac:dyDescent="0.25">
      <c r="A563" t="s">
        <v>146</v>
      </c>
      <c r="B563" t="s">
        <v>147</v>
      </c>
      <c r="C563">
        <v>2736640</v>
      </c>
      <c r="D563">
        <v>2653293</v>
      </c>
      <c r="E563">
        <v>1337303</v>
      </c>
      <c r="F563">
        <v>839648</v>
      </c>
      <c r="G563">
        <v>1628809</v>
      </c>
      <c r="H563">
        <v>2129092</v>
      </c>
      <c r="I563">
        <f>E563/H563</f>
        <v>0.62810954153225884</v>
      </c>
    </row>
    <row r="564" spans="1:9" x14ac:dyDescent="0.25">
      <c r="A564" t="s">
        <v>148</v>
      </c>
      <c r="B564" t="s">
        <v>149</v>
      </c>
      <c r="C564">
        <v>2736640</v>
      </c>
      <c r="D564">
        <v>2653293</v>
      </c>
      <c r="E564">
        <v>1337303</v>
      </c>
      <c r="F564">
        <v>839648</v>
      </c>
      <c r="G564">
        <v>1628809</v>
      </c>
      <c r="H564">
        <v>2129092</v>
      </c>
      <c r="I564">
        <f>E564/H564</f>
        <v>0.62810954153225884</v>
      </c>
    </row>
    <row r="565" spans="1:9" x14ac:dyDescent="0.25">
      <c r="A565" t="s">
        <v>296</v>
      </c>
      <c r="B565" t="s">
        <v>297</v>
      </c>
      <c r="C565">
        <v>721296</v>
      </c>
      <c r="D565">
        <v>768758</v>
      </c>
      <c r="E565">
        <v>313904</v>
      </c>
      <c r="F565">
        <v>249584</v>
      </c>
      <c r="G565">
        <v>356784</v>
      </c>
      <c r="H565">
        <v>508437</v>
      </c>
      <c r="I565">
        <f>E565/H565</f>
        <v>0.61739015846604395</v>
      </c>
    </row>
    <row r="566" spans="1:9" x14ac:dyDescent="0.25">
      <c r="A566" t="s">
        <v>144</v>
      </c>
      <c r="B566" t="s">
        <v>145</v>
      </c>
      <c r="C566">
        <v>2812037</v>
      </c>
      <c r="D566">
        <v>2722814</v>
      </c>
      <c r="E566">
        <v>1342654</v>
      </c>
      <c r="F566">
        <v>839648</v>
      </c>
      <c r="G566">
        <v>1645044</v>
      </c>
      <c r="H566">
        <v>2247567</v>
      </c>
      <c r="I566">
        <f>E566/H566</f>
        <v>0.59738107918473615</v>
      </c>
    </row>
    <row r="567" spans="1:9" x14ac:dyDescent="0.25">
      <c r="A567" t="s">
        <v>298</v>
      </c>
      <c r="B567" t="s">
        <v>299</v>
      </c>
      <c r="C567">
        <v>708427</v>
      </c>
      <c r="D567">
        <v>751928</v>
      </c>
      <c r="E567">
        <v>284862</v>
      </c>
      <c r="F567">
        <v>232147</v>
      </c>
      <c r="G567">
        <v>349436</v>
      </c>
      <c r="H567">
        <v>505178</v>
      </c>
      <c r="I567">
        <f>E567/H567</f>
        <v>0.56388441301877756</v>
      </c>
    </row>
    <row r="568" spans="1:9" x14ac:dyDescent="0.25">
      <c r="A568" t="s">
        <v>300</v>
      </c>
      <c r="B568" t="s">
        <v>301</v>
      </c>
      <c r="C568">
        <v>708427</v>
      </c>
      <c r="D568">
        <v>751928</v>
      </c>
      <c r="E568">
        <v>284862</v>
      </c>
      <c r="F568">
        <v>232147</v>
      </c>
      <c r="G568">
        <v>349436</v>
      </c>
      <c r="H568">
        <v>505178</v>
      </c>
      <c r="I568">
        <f>E568/H568</f>
        <v>0.56388441301877756</v>
      </c>
    </row>
    <row r="569" spans="1:9" x14ac:dyDescent="0.25">
      <c r="A569" t="s">
        <v>75</v>
      </c>
      <c r="B569" t="s">
        <v>76</v>
      </c>
      <c r="C569">
        <v>2578706</v>
      </c>
      <c r="D569">
        <v>2487285</v>
      </c>
      <c r="E569">
        <v>774351</v>
      </c>
      <c r="F569">
        <v>258212</v>
      </c>
      <c r="G569">
        <v>1497750</v>
      </c>
      <c r="H569">
        <v>1431828</v>
      </c>
      <c r="I569">
        <f>E569/H569</f>
        <v>0.54081286299751086</v>
      </c>
    </row>
    <row r="570" spans="1:9" x14ac:dyDescent="0.25">
      <c r="A570" t="s">
        <v>302</v>
      </c>
      <c r="B570" t="s">
        <v>303</v>
      </c>
      <c r="C570">
        <v>1082695</v>
      </c>
      <c r="D570">
        <v>1023837</v>
      </c>
      <c r="E570">
        <v>323139</v>
      </c>
      <c r="F570">
        <v>0</v>
      </c>
      <c r="G570">
        <v>723377</v>
      </c>
      <c r="H570">
        <v>650561</v>
      </c>
      <c r="I570">
        <f>E570/H570</f>
        <v>0.49670822566984496</v>
      </c>
    </row>
    <row r="571" spans="1:9" x14ac:dyDescent="0.25">
      <c r="A571" t="s">
        <v>304</v>
      </c>
      <c r="B571" t="s">
        <v>305</v>
      </c>
      <c r="C571">
        <v>1159809</v>
      </c>
      <c r="D571">
        <v>1042539</v>
      </c>
      <c r="E571">
        <v>324871</v>
      </c>
      <c r="F571">
        <v>0</v>
      </c>
      <c r="G571">
        <v>726607</v>
      </c>
      <c r="H571">
        <v>659098</v>
      </c>
      <c r="I571">
        <f>E571/H571</f>
        <v>0.49290242118774447</v>
      </c>
    </row>
    <row r="572" spans="1:9" x14ac:dyDescent="0.25">
      <c r="A572" t="s">
        <v>27</v>
      </c>
      <c r="B572" t="s">
        <v>28</v>
      </c>
      <c r="C572">
        <v>3381648</v>
      </c>
      <c r="D572">
        <v>3317833</v>
      </c>
      <c r="E572">
        <v>812624</v>
      </c>
      <c r="F572">
        <v>348582</v>
      </c>
      <c r="G572">
        <v>1881121</v>
      </c>
      <c r="H572">
        <v>1813260</v>
      </c>
      <c r="I572">
        <f>E572/H572</f>
        <v>0.44815635926452907</v>
      </c>
    </row>
    <row r="573" spans="1:9" x14ac:dyDescent="0.25">
      <c r="A573" t="s">
        <v>29</v>
      </c>
      <c r="B573" t="s">
        <v>30</v>
      </c>
      <c r="C573">
        <v>3393169</v>
      </c>
      <c r="D573">
        <v>3317833</v>
      </c>
      <c r="E573">
        <v>812624</v>
      </c>
      <c r="F573">
        <v>348582</v>
      </c>
      <c r="G573">
        <v>1895498</v>
      </c>
      <c r="H573">
        <v>1814944</v>
      </c>
      <c r="I573">
        <f>E573/H573</f>
        <v>0.44774053634712696</v>
      </c>
    </row>
    <row r="574" spans="1:9" x14ac:dyDescent="0.25">
      <c r="A574" t="s">
        <v>17</v>
      </c>
      <c r="B574" t="s">
        <v>18</v>
      </c>
      <c r="C574">
        <v>2455015</v>
      </c>
      <c r="D574">
        <v>2333309</v>
      </c>
      <c r="E574">
        <v>404055</v>
      </c>
      <c r="F574">
        <v>0</v>
      </c>
      <c r="G574">
        <v>1229201</v>
      </c>
      <c r="H574">
        <v>924750</v>
      </c>
      <c r="I574">
        <f>E574/H574</f>
        <v>0.43693430656934307</v>
      </c>
    </row>
    <row r="575" spans="1:9" x14ac:dyDescent="0.25">
      <c r="A575" t="s">
        <v>19</v>
      </c>
      <c r="B575" t="s">
        <v>20</v>
      </c>
      <c r="C575">
        <v>2473369</v>
      </c>
      <c r="D575">
        <v>2333309</v>
      </c>
      <c r="E575">
        <v>410877</v>
      </c>
      <c r="F575">
        <v>0</v>
      </c>
      <c r="G575">
        <v>1229201</v>
      </c>
      <c r="H575">
        <v>950291</v>
      </c>
      <c r="I575">
        <f>E575/H575</f>
        <v>0.43236966360830525</v>
      </c>
    </row>
    <row r="576" spans="1:9" x14ac:dyDescent="0.25">
      <c r="A576" t="s">
        <v>4</v>
      </c>
      <c r="B576" t="s">
        <v>5</v>
      </c>
      <c r="C576">
        <v>6711524</v>
      </c>
      <c r="D576">
        <v>5932818</v>
      </c>
      <c r="E576">
        <v>1841962</v>
      </c>
      <c r="F576">
        <v>1138233</v>
      </c>
      <c r="G576">
        <v>3379890</v>
      </c>
      <c r="H576">
        <v>4398726</v>
      </c>
      <c r="I576">
        <f>E576/H576</f>
        <v>0.41874897413478357</v>
      </c>
    </row>
    <row r="577" spans="1:9" x14ac:dyDescent="0.25">
      <c r="A577" t="s">
        <v>2</v>
      </c>
      <c r="B577" t="s">
        <v>3</v>
      </c>
      <c r="C577">
        <v>6708126</v>
      </c>
      <c r="D577">
        <v>5925376</v>
      </c>
      <c r="E577">
        <v>1829402</v>
      </c>
      <c r="F577">
        <v>1138233</v>
      </c>
      <c r="G577">
        <v>3378738</v>
      </c>
      <c r="H577">
        <v>4396221</v>
      </c>
      <c r="I577">
        <f>E577/H577</f>
        <v>0.41613058124238977</v>
      </c>
    </row>
    <row r="578" spans="1:9" x14ac:dyDescent="0.25">
      <c r="A578" t="s">
        <v>83</v>
      </c>
      <c r="B578" t="s">
        <v>84</v>
      </c>
      <c r="C578">
        <v>2878599</v>
      </c>
      <c r="D578">
        <v>2451743</v>
      </c>
      <c r="E578">
        <v>658836</v>
      </c>
      <c r="F578">
        <v>135693</v>
      </c>
      <c r="G578">
        <v>1669210</v>
      </c>
      <c r="H578">
        <v>1665678</v>
      </c>
      <c r="I578">
        <f>E578/H578</f>
        <v>0.39553623209287747</v>
      </c>
    </row>
    <row r="579" spans="1:9" x14ac:dyDescent="0.25">
      <c r="A579" t="s">
        <v>43</v>
      </c>
      <c r="B579" t="s">
        <v>44</v>
      </c>
      <c r="C579">
        <v>3123265</v>
      </c>
      <c r="D579">
        <v>4317354</v>
      </c>
      <c r="E579">
        <v>1071115</v>
      </c>
      <c r="F579">
        <v>549322</v>
      </c>
      <c r="G579">
        <v>2434795</v>
      </c>
      <c r="H579">
        <v>2720576</v>
      </c>
      <c r="I579">
        <f>E579/H579</f>
        <v>0.39370890576113293</v>
      </c>
    </row>
    <row r="580" spans="1:9" x14ac:dyDescent="0.25">
      <c r="A580" t="s">
        <v>45</v>
      </c>
      <c r="B580" t="s">
        <v>46</v>
      </c>
      <c r="C580">
        <v>3123265</v>
      </c>
      <c r="D580">
        <v>4533791</v>
      </c>
      <c r="E580">
        <v>1071115</v>
      </c>
      <c r="F580">
        <v>549322</v>
      </c>
      <c r="G580">
        <v>2434795</v>
      </c>
      <c r="H580">
        <v>2720576</v>
      </c>
      <c r="I580">
        <f>E580/H580</f>
        <v>0.39370890576113293</v>
      </c>
    </row>
    <row r="581" spans="1:9" x14ac:dyDescent="0.25">
      <c r="A581" t="s">
        <v>81</v>
      </c>
      <c r="B581" t="s">
        <v>82</v>
      </c>
      <c r="C581">
        <v>2876434</v>
      </c>
      <c r="D581">
        <v>2437020</v>
      </c>
      <c r="E581">
        <v>643348</v>
      </c>
      <c r="F581">
        <v>135693</v>
      </c>
      <c r="G581">
        <v>1569874</v>
      </c>
      <c r="H581">
        <v>1665678</v>
      </c>
      <c r="I581">
        <f>E581/H581</f>
        <v>0.38623791633196813</v>
      </c>
    </row>
    <row r="582" spans="1:9" x14ac:dyDescent="0.25">
      <c r="A582" t="s">
        <v>6</v>
      </c>
      <c r="B582" t="s">
        <v>7</v>
      </c>
      <c r="C582">
        <v>6068515</v>
      </c>
      <c r="D582">
        <v>5521138</v>
      </c>
      <c r="E582">
        <v>1486402</v>
      </c>
      <c r="F582">
        <v>908389</v>
      </c>
      <c r="G582">
        <v>2965364</v>
      </c>
      <c r="H582">
        <v>3912427</v>
      </c>
      <c r="I582">
        <f>E582/H582</f>
        <v>0.37991814288164355</v>
      </c>
    </row>
    <row r="583" spans="1:9" x14ac:dyDescent="0.25">
      <c r="A583" t="s">
        <v>49</v>
      </c>
      <c r="B583" t="s">
        <v>50</v>
      </c>
      <c r="C583">
        <v>2999108</v>
      </c>
      <c r="D583">
        <v>4371003</v>
      </c>
      <c r="E583">
        <v>960899</v>
      </c>
      <c r="F583">
        <v>552307</v>
      </c>
      <c r="G583">
        <v>2375659</v>
      </c>
      <c r="H583">
        <v>2622842</v>
      </c>
      <c r="I583">
        <f>E583/H583</f>
        <v>0.36635794302516128</v>
      </c>
    </row>
    <row r="584" spans="1:9" x14ac:dyDescent="0.25">
      <c r="A584" t="s">
        <v>89</v>
      </c>
      <c r="B584" t="s">
        <v>90</v>
      </c>
      <c r="C584">
        <v>2332123</v>
      </c>
      <c r="D584">
        <v>2045229</v>
      </c>
      <c r="E584">
        <v>587867</v>
      </c>
      <c r="F584">
        <v>488410</v>
      </c>
      <c r="G584">
        <v>1474920</v>
      </c>
      <c r="H584">
        <v>1622674</v>
      </c>
      <c r="I584">
        <f>E584/H584</f>
        <v>0.36228287382431712</v>
      </c>
    </row>
    <row r="585" spans="1:9" x14ac:dyDescent="0.25">
      <c r="A585" t="s">
        <v>8</v>
      </c>
      <c r="B585" t="s">
        <v>9</v>
      </c>
      <c r="C585">
        <v>6742509</v>
      </c>
      <c r="D585">
        <v>5689751</v>
      </c>
      <c r="E585">
        <v>1587337</v>
      </c>
      <c r="F585">
        <v>977317</v>
      </c>
      <c r="G585">
        <v>3315271</v>
      </c>
      <c r="H585">
        <v>4572358</v>
      </c>
      <c r="I585">
        <f>E585/H585</f>
        <v>0.34715938690714943</v>
      </c>
    </row>
    <row r="586" spans="1:9" x14ac:dyDescent="0.25">
      <c r="A586" t="s">
        <v>182</v>
      </c>
      <c r="B586" t="s">
        <v>183</v>
      </c>
      <c r="C586">
        <v>735532</v>
      </c>
      <c r="D586">
        <v>887230</v>
      </c>
      <c r="E586">
        <v>251157</v>
      </c>
      <c r="F586">
        <v>146214</v>
      </c>
      <c r="G586">
        <v>625491</v>
      </c>
      <c r="H586">
        <v>724664</v>
      </c>
      <c r="I586">
        <f>E586/H586</f>
        <v>0.34658407206650255</v>
      </c>
    </row>
    <row r="587" spans="1:9" x14ac:dyDescent="0.25">
      <c r="A587" t="s">
        <v>184</v>
      </c>
      <c r="B587" t="s">
        <v>185</v>
      </c>
      <c r="C587">
        <v>735532</v>
      </c>
      <c r="D587">
        <v>887230</v>
      </c>
      <c r="E587">
        <v>251157</v>
      </c>
      <c r="F587">
        <v>146214</v>
      </c>
      <c r="G587">
        <v>625491</v>
      </c>
      <c r="H587">
        <v>724664</v>
      </c>
      <c r="I587">
        <f>E587/H587</f>
        <v>0.34658407206650255</v>
      </c>
    </row>
    <row r="588" spans="1:9" x14ac:dyDescent="0.25">
      <c r="A588" t="s">
        <v>186</v>
      </c>
      <c r="B588" t="s">
        <v>187</v>
      </c>
      <c r="C588">
        <v>735532</v>
      </c>
      <c r="D588">
        <v>957457</v>
      </c>
      <c r="E588">
        <v>252861</v>
      </c>
      <c r="F588">
        <v>181336</v>
      </c>
      <c r="G588">
        <v>659251</v>
      </c>
      <c r="H588">
        <v>730939</v>
      </c>
      <c r="I588">
        <f>E588/H588</f>
        <v>0.34593994847723269</v>
      </c>
    </row>
    <row r="589" spans="1:9" x14ac:dyDescent="0.25">
      <c r="A589" t="s">
        <v>252</v>
      </c>
      <c r="B589" t="s">
        <v>253</v>
      </c>
      <c r="C589">
        <v>819518</v>
      </c>
      <c r="D589">
        <v>1540592</v>
      </c>
      <c r="E589">
        <v>223090</v>
      </c>
      <c r="F589">
        <v>149537</v>
      </c>
      <c r="G589">
        <v>753646</v>
      </c>
      <c r="H589">
        <v>664387</v>
      </c>
      <c r="I589">
        <f>E589/H589</f>
        <v>0.33578321068895089</v>
      </c>
    </row>
    <row r="590" spans="1:9" x14ac:dyDescent="0.25">
      <c r="A590" t="s">
        <v>91</v>
      </c>
      <c r="B590" t="s">
        <v>92</v>
      </c>
      <c r="C590">
        <v>2625303</v>
      </c>
      <c r="D590">
        <v>3502221</v>
      </c>
      <c r="E590">
        <v>342818</v>
      </c>
      <c r="F590">
        <v>0</v>
      </c>
      <c r="G590">
        <v>1802655</v>
      </c>
      <c r="H590">
        <v>1110843</v>
      </c>
      <c r="I590">
        <f>E590/H590</f>
        <v>0.3086106677541291</v>
      </c>
    </row>
    <row r="591" spans="1:9" x14ac:dyDescent="0.25">
      <c r="A591" t="s">
        <v>93</v>
      </c>
      <c r="B591" t="s">
        <v>94</v>
      </c>
      <c r="C591">
        <v>2625303</v>
      </c>
      <c r="D591">
        <v>3502221</v>
      </c>
      <c r="E591">
        <v>342818</v>
      </c>
      <c r="F591">
        <v>0</v>
      </c>
      <c r="G591">
        <v>1802655</v>
      </c>
      <c r="H591">
        <v>1110843</v>
      </c>
      <c r="I591">
        <f>E591/H591</f>
        <v>0.3086106677541291</v>
      </c>
    </row>
    <row r="592" spans="1:9" x14ac:dyDescent="0.25">
      <c r="A592" t="s">
        <v>95</v>
      </c>
      <c r="B592" t="s">
        <v>96</v>
      </c>
      <c r="C592">
        <v>2631084</v>
      </c>
      <c r="D592">
        <v>3502221</v>
      </c>
      <c r="E592">
        <v>342818</v>
      </c>
      <c r="F592">
        <v>0</v>
      </c>
      <c r="G592">
        <v>1828446</v>
      </c>
      <c r="H592">
        <v>1110843</v>
      </c>
      <c r="I592">
        <f>E592/H592</f>
        <v>0.3086106677541291</v>
      </c>
    </row>
    <row r="593" spans="1:9" x14ac:dyDescent="0.25">
      <c r="A593" t="s">
        <v>280</v>
      </c>
      <c r="B593" t="s">
        <v>281</v>
      </c>
      <c r="C593">
        <v>1342137</v>
      </c>
      <c r="D593">
        <v>1508772</v>
      </c>
      <c r="E593">
        <v>174639</v>
      </c>
      <c r="F593">
        <v>0</v>
      </c>
      <c r="G593">
        <v>770060</v>
      </c>
      <c r="H593">
        <v>622562</v>
      </c>
      <c r="I593">
        <f>E593/H593</f>
        <v>0.2805166393066072</v>
      </c>
    </row>
    <row r="594" spans="1:9" x14ac:dyDescent="0.25">
      <c r="A594" t="s">
        <v>127</v>
      </c>
      <c r="B594" t="s">
        <v>128</v>
      </c>
      <c r="C594">
        <v>1018369</v>
      </c>
      <c r="D594">
        <v>1583861</v>
      </c>
      <c r="E594">
        <v>209661</v>
      </c>
      <c r="F594">
        <v>149537</v>
      </c>
      <c r="G594">
        <v>970955</v>
      </c>
      <c r="H594">
        <v>786749</v>
      </c>
      <c r="I594">
        <f>E594/H594</f>
        <v>0.26649032919012289</v>
      </c>
    </row>
    <row r="595" spans="1:9" x14ac:dyDescent="0.25">
      <c r="A595" t="s">
        <v>129</v>
      </c>
      <c r="B595" t="s">
        <v>130</v>
      </c>
      <c r="C595">
        <v>1018369</v>
      </c>
      <c r="D595">
        <v>1583861</v>
      </c>
      <c r="E595">
        <v>209661</v>
      </c>
      <c r="F595">
        <v>149537</v>
      </c>
      <c r="G595">
        <v>970955</v>
      </c>
      <c r="H595">
        <v>786749</v>
      </c>
      <c r="I595">
        <f>E595/H595</f>
        <v>0.26649032919012289</v>
      </c>
    </row>
    <row r="596" spans="1:9" x14ac:dyDescent="0.25">
      <c r="A596" t="s">
        <v>131</v>
      </c>
      <c r="B596" t="s">
        <v>132</v>
      </c>
      <c r="C596">
        <v>1021757</v>
      </c>
      <c r="D596">
        <v>1585703</v>
      </c>
      <c r="E596">
        <v>209661</v>
      </c>
      <c r="F596">
        <v>149537</v>
      </c>
      <c r="G596">
        <v>983707</v>
      </c>
      <c r="H596">
        <v>796259</v>
      </c>
      <c r="I596">
        <f>E596/H596</f>
        <v>0.26330754189277611</v>
      </c>
    </row>
    <row r="597" spans="1:9" x14ac:dyDescent="0.25">
      <c r="A597" t="s">
        <v>37</v>
      </c>
      <c r="B597" t="s">
        <v>38</v>
      </c>
      <c r="C597">
        <v>5832681</v>
      </c>
      <c r="D597">
        <v>8532204</v>
      </c>
      <c r="E597">
        <v>477517</v>
      </c>
      <c r="F597">
        <v>0</v>
      </c>
      <c r="G597">
        <v>3570626</v>
      </c>
      <c r="H597">
        <v>3587800</v>
      </c>
      <c r="I597">
        <f>E597/H597</f>
        <v>0.13309465410558002</v>
      </c>
    </row>
    <row r="598" spans="1:9" x14ac:dyDescent="0.25">
      <c r="A598" t="s">
        <v>33</v>
      </c>
      <c r="B598" t="s">
        <v>34</v>
      </c>
      <c r="C598">
        <v>6201923</v>
      </c>
      <c r="D598">
        <v>8613699</v>
      </c>
      <c r="E598">
        <v>477517</v>
      </c>
      <c r="F598">
        <v>0</v>
      </c>
      <c r="G598">
        <v>3756563</v>
      </c>
      <c r="H598">
        <v>3616466</v>
      </c>
      <c r="I598">
        <f>E598/H598</f>
        <v>0.13203967630277735</v>
      </c>
    </row>
    <row r="599" spans="1:9" x14ac:dyDescent="0.25">
      <c r="A599" t="s">
        <v>35</v>
      </c>
      <c r="B599" t="s">
        <v>36</v>
      </c>
      <c r="C599">
        <v>6201923</v>
      </c>
      <c r="D599">
        <v>8623461</v>
      </c>
      <c r="E599">
        <v>477517</v>
      </c>
      <c r="F599">
        <v>0</v>
      </c>
      <c r="G599">
        <v>3756563</v>
      </c>
      <c r="H599">
        <v>3616466</v>
      </c>
      <c r="I599">
        <f>E599/H599</f>
        <v>0.13203967630277735</v>
      </c>
    </row>
    <row r="600" spans="1:9" x14ac:dyDescent="0.25">
      <c r="A600" t="s">
        <v>71</v>
      </c>
      <c r="B600" t="s">
        <v>72</v>
      </c>
      <c r="C600">
        <v>3236908</v>
      </c>
      <c r="D600">
        <v>2901444</v>
      </c>
      <c r="E600">
        <v>189685</v>
      </c>
      <c r="F600">
        <v>0</v>
      </c>
      <c r="G600">
        <v>1692903</v>
      </c>
      <c r="H600">
        <v>1833399</v>
      </c>
      <c r="I600">
        <f>E600/H600</f>
        <v>0.1034608396753789</v>
      </c>
    </row>
    <row r="601" spans="1:9" x14ac:dyDescent="0.25">
      <c r="A601" t="s">
        <v>73</v>
      </c>
      <c r="B601" t="s">
        <v>74</v>
      </c>
      <c r="C601">
        <v>3236908</v>
      </c>
      <c r="D601">
        <v>2901444</v>
      </c>
      <c r="E601">
        <v>189685</v>
      </c>
      <c r="F601">
        <v>0</v>
      </c>
      <c r="G601">
        <v>1692903</v>
      </c>
      <c r="H601">
        <v>1833399</v>
      </c>
      <c r="I601">
        <f>E601/H601</f>
        <v>0.1034608396753789</v>
      </c>
    </row>
    <row r="602" spans="1:9" x14ac:dyDescent="0.25">
      <c r="A602" t="s">
        <v>69</v>
      </c>
      <c r="B602" t="s">
        <v>70</v>
      </c>
      <c r="C602">
        <v>3317699</v>
      </c>
      <c r="D602">
        <v>2936108</v>
      </c>
      <c r="E602">
        <v>190919</v>
      </c>
      <c r="F602">
        <v>0</v>
      </c>
      <c r="G602">
        <v>1790124</v>
      </c>
      <c r="H602">
        <v>1980759</v>
      </c>
      <c r="I602">
        <f>E602/H602</f>
        <v>9.6386789104580622E-2</v>
      </c>
    </row>
    <row r="603" spans="1:9" x14ac:dyDescent="0.25">
      <c r="A603" t="s">
        <v>10</v>
      </c>
      <c r="B603" t="s">
        <v>11</v>
      </c>
      <c r="C603">
        <v>1802495</v>
      </c>
      <c r="D603">
        <v>1859515</v>
      </c>
      <c r="E603">
        <v>0</v>
      </c>
      <c r="F603">
        <v>0</v>
      </c>
      <c r="G603">
        <v>1207082</v>
      </c>
      <c r="H603">
        <v>1214813</v>
      </c>
      <c r="I603">
        <f>E603/H603</f>
        <v>0</v>
      </c>
    </row>
    <row r="604" spans="1:9" x14ac:dyDescent="0.25">
      <c r="A604" t="s">
        <v>12</v>
      </c>
      <c r="B604" t="s">
        <v>13</v>
      </c>
      <c r="C604">
        <v>1802495</v>
      </c>
      <c r="D604">
        <v>1865936</v>
      </c>
      <c r="E604">
        <v>0</v>
      </c>
      <c r="F604">
        <v>0</v>
      </c>
      <c r="G604">
        <v>1207082</v>
      </c>
      <c r="H604">
        <v>1214813</v>
      </c>
      <c r="I604">
        <f>E604/H604</f>
        <v>0</v>
      </c>
    </row>
    <row r="605" spans="1:9" x14ac:dyDescent="0.25">
      <c r="A605" t="s">
        <v>14</v>
      </c>
      <c r="B605" t="s">
        <v>15</v>
      </c>
      <c r="C605">
        <v>1659924</v>
      </c>
      <c r="D605">
        <v>1767979</v>
      </c>
      <c r="E605">
        <v>0</v>
      </c>
      <c r="F605">
        <v>0</v>
      </c>
      <c r="G605">
        <v>1107978</v>
      </c>
      <c r="H605">
        <v>1117785</v>
      </c>
      <c r="I605">
        <f>E605/H605</f>
        <v>0</v>
      </c>
    </row>
    <row r="606" spans="1:9" x14ac:dyDescent="0.25">
      <c r="A606" t="s">
        <v>16</v>
      </c>
      <c r="B606" t="s">
        <v>15</v>
      </c>
      <c r="C606">
        <v>1621767</v>
      </c>
      <c r="D606">
        <v>1632072</v>
      </c>
      <c r="E606">
        <v>0</v>
      </c>
      <c r="F606">
        <v>0</v>
      </c>
      <c r="G606">
        <v>1038214</v>
      </c>
      <c r="H606">
        <v>1133648</v>
      </c>
      <c r="I606">
        <f>E606/H606</f>
        <v>0</v>
      </c>
    </row>
    <row r="607" spans="1:9" x14ac:dyDescent="0.25">
      <c r="A607" t="s">
        <v>53</v>
      </c>
      <c r="B607" t="s">
        <v>54</v>
      </c>
      <c r="C607">
        <v>1912031</v>
      </c>
      <c r="D607">
        <v>1855783</v>
      </c>
      <c r="E607">
        <v>0</v>
      </c>
      <c r="F607">
        <v>616507</v>
      </c>
      <c r="G607">
        <v>1201343</v>
      </c>
      <c r="H607">
        <v>1785862</v>
      </c>
      <c r="I607">
        <f>E607/H607</f>
        <v>0</v>
      </c>
    </row>
    <row r="608" spans="1:9" x14ac:dyDescent="0.25">
      <c r="A608" t="s">
        <v>55</v>
      </c>
      <c r="B608" t="s">
        <v>56</v>
      </c>
      <c r="C608">
        <v>1912031</v>
      </c>
      <c r="D608">
        <v>1855783</v>
      </c>
      <c r="E608">
        <v>0</v>
      </c>
      <c r="F608">
        <v>616507</v>
      </c>
      <c r="G608">
        <v>1201343</v>
      </c>
      <c r="H608">
        <v>1848082</v>
      </c>
      <c r="I608">
        <f>E608/H608</f>
        <v>0</v>
      </c>
    </row>
    <row r="609" spans="1:9" x14ac:dyDescent="0.25">
      <c r="A609" t="s">
        <v>57</v>
      </c>
      <c r="B609" t="s">
        <v>58</v>
      </c>
      <c r="C609">
        <v>1912031</v>
      </c>
      <c r="D609">
        <v>1889447</v>
      </c>
      <c r="E609">
        <v>0</v>
      </c>
      <c r="F609">
        <v>616507</v>
      </c>
      <c r="G609">
        <v>1214832</v>
      </c>
      <c r="H609">
        <v>1855614</v>
      </c>
      <c r="I609">
        <f>E609/H609</f>
        <v>0</v>
      </c>
    </row>
    <row r="610" spans="1:9" x14ac:dyDescent="0.25">
      <c r="A610" t="s">
        <v>59</v>
      </c>
      <c r="B610" t="s">
        <v>60</v>
      </c>
      <c r="C610">
        <v>988294</v>
      </c>
      <c r="D610">
        <v>1511685</v>
      </c>
      <c r="E610">
        <v>0</v>
      </c>
      <c r="F610">
        <v>0</v>
      </c>
      <c r="G610">
        <v>811023</v>
      </c>
      <c r="H610">
        <v>1098900</v>
      </c>
      <c r="I610">
        <f>E610/H610</f>
        <v>0</v>
      </c>
    </row>
    <row r="611" spans="1:9" x14ac:dyDescent="0.25">
      <c r="A611" t="s">
        <v>61</v>
      </c>
      <c r="B611" t="s">
        <v>62</v>
      </c>
      <c r="C611">
        <v>1120411</v>
      </c>
      <c r="D611">
        <v>1617496</v>
      </c>
      <c r="E611">
        <v>0</v>
      </c>
      <c r="F611">
        <v>0</v>
      </c>
      <c r="G611">
        <v>943397</v>
      </c>
      <c r="H611">
        <v>1185136</v>
      </c>
      <c r="I611">
        <f>E611/H611</f>
        <v>0</v>
      </c>
    </row>
    <row r="612" spans="1:9" x14ac:dyDescent="0.25">
      <c r="A612" t="s">
        <v>113</v>
      </c>
      <c r="B612" t="s">
        <v>114</v>
      </c>
      <c r="C612">
        <v>1429981</v>
      </c>
      <c r="D612">
        <v>1555841</v>
      </c>
      <c r="E612">
        <v>0</v>
      </c>
      <c r="F612">
        <v>0</v>
      </c>
      <c r="G612">
        <v>551699</v>
      </c>
      <c r="H612">
        <v>410562</v>
      </c>
      <c r="I612">
        <f>E612/H612</f>
        <v>0</v>
      </c>
    </row>
    <row r="613" spans="1:9" x14ac:dyDescent="0.25">
      <c r="A613" t="s">
        <v>115</v>
      </c>
      <c r="B613" t="s">
        <v>116</v>
      </c>
      <c r="C613">
        <v>1367316</v>
      </c>
      <c r="D613">
        <v>1541333</v>
      </c>
      <c r="E613">
        <v>0</v>
      </c>
      <c r="F613">
        <v>0</v>
      </c>
      <c r="G613">
        <v>551699</v>
      </c>
      <c r="H613">
        <v>406964</v>
      </c>
      <c r="I613">
        <f>E613/H613</f>
        <v>0</v>
      </c>
    </row>
    <row r="614" spans="1:9" x14ac:dyDescent="0.25">
      <c r="A614" t="s">
        <v>117</v>
      </c>
      <c r="B614" t="s">
        <v>118</v>
      </c>
      <c r="C614">
        <v>847406</v>
      </c>
      <c r="D614">
        <v>731307</v>
      </c>
      <c r="E614">
        <v>0</v>
      </c>
      <c r="F614">
        <v>0</v>
      </c>
      <c r="G614">
        <v>620783</v>
      </c>
      <c r="H614">
        <v>567824</v>
      </c>
      <c r="I614">
        <f>E614/H614</f>
        <v>0</v>
      </c>
    </row>
    <row r="615" spans="1:9" x14ac:dyDescent="0.25">
      <c r="A615" t="s">
        <v>119</v>
      </c>
      <c r="B615" t="s">
        <v>120</v>
      </c>
      <c r="C615">
        <v>847406</v>
      </c>
      <c r="D615">
        <v>731307</v>
      </c>
      <c r="E615">
        <v>0</v>
      </c>
      <c r="F615">
        <v>0</v>
      </c>
      <c r="G615">
        <v>620783</v>
      </c>
      <c r="H615">
        <v>567824</v>
      </c>
      <c r="I615">
        <f>E615/H615</f>
        <v>0</v>
      </c>
    </row>
    <row r="616" spans="1:9" x14ac:dyDescent="0.25">
      <c r="A616" t="s">
        <v>121</v>
      </c>
      <c r="B616" t="s">
        <v>122</v>
      </c>
      <c r="C616">
        <v>854233</v>
      </c>
      <c r="D616">
        <v>735923</v>
      </c>
      <c r="E616">
        <v>0</v>
      </c>
      <c r="F616">
        <v>0</v>
      </c>
      <c r="G616">
        <v>667163</v>
      </c>
      <c r="H616">
        <v>567824</v>
      </c>
      <c r="I616">
        <f>E616/H616</f>
        <v>0</v>
      </c>
    </row>
    <row r="617" spans="1:9" x14ac:dyDescent="0.25">
      <c r="A617" t="s">
        <v>123</v>
      </c>
      <c r="B617" t="s">
        <v>124</v>
      </c>
      <c r="C617">
        <v>1078150</v>
      </c>
      <c r="D617">
        <v>1906685</v>
      </c>
      <c r="E617">
        <v>0</v>
      </c>
      <c r="F617">
        <v>0</v>
      </c>
      <c r="G617">
        <v>650323</v>
      </c>
      <c r="H617">
        <v>322563</v>
      </c>
      <c r="I617">
        <f>E617/H617</f>
        <v>0</v>
      </c>
    </row>
    <row r="618" spans="1:9" x14ac:dyDescent="0.25">
      <c r="A618" t="s">
        <v>125</v>
      </c>
      <c r="B618" t="s">
        <v>126</v>
      </c>
      <c r="C618">
        <v>1163293</v>
      </c>
      <c r="D618">
        <v>2156304</v>
      </c>
      <c r="E618">
        <v>0</v>
      </c>
      <c r="F618">
        <v>0</v>
      </c>
      <c r="G618">
        <v>658150</v>
      </c>
      <c r="H618">
        <v>322563</v>
      </c>
      <c r="I618">
        <f>E618/H618</f>
        <v>0</v>
      </c>
    </row>
    <row r="619" spans="1:9" x14ac:dyDescent="0.25">
      <c r="A619" t="s">
        <v>133</v>
      </c>
      <c r="B619" t="s">
        <v>134</v>
      </c>
      <c r="C619">
        <v>959855</v>
      </c>
      <c r="D619">
        <v>1906685</v>
      </c>
      <c r="E619">
        <v>0</v>
      </c>
      <c r="F619">
        <v>0</v>
      </c>
      <c r="G619">
        <v>650323</v>
      </c>
      <c r="H619">
        <v>322563</v>
      </c>
      <c r="I619">
        <f>E619/H619</f>
        <v>0</v>
      </c>
    </row>
    <row r="620" spans="1:9" x14ac:dyDescent="0.25">
      <c r="A620" t="s">
        <v>135</v>
      </c>
      <c r="B620" t="s">
        <v>136</v>
      </c>
      <c r="C620">
        <v>797380</v>
      </c>
      <c r="D620">
        <v>949262</v>
      </c>
      <c r="E620">
        <v>0</v>
      </c>
      <c r="F620">
        <v>0</v>
      </c>
      <c r="G620">
        <v>488877</v>
      </c>
      <c r="H620">
        <v>502992</v>
      </c>
      <c r="I620">
        <f>E620/H620</f>
        <v>0</v>
      </c>
    </row>
    <row r="621" spans="1:9" x14ac:dyDescent="0.25">
      <c r="A621" t="s">
        <v>137</v>
      </c>
      <c r="B621" t="s">
        <v>138</v>
      </c>
      <c r="C621">
        <v>797380</v>
      </c>
      <c r="D621">
        <v>949262</v>
      </c>
      <c r="E621">
        <v>0</v>
      </c>
      <c r="F621">
        <v>0</v>
      </c>
      <c r="G621">
        <v>488877</v>
      </c>
      <c r="H621">
        <v>506719</v>
      </c>
      <c r="I621">
        <f>E621/H621</f>
        <v>0</v>
      </c>
    </row>
    <row r="622" spans="1:9" x14ac:dyDescent="0.25">
      <c r="A622" t="s">
        <v>143</v>
      </c>
      <c r="B622" t="s">
        <v>54</v>
      </c>
      <c r="C622">
        <v>1615086</v>
      </c>
      <c r="D622">
        <v>1349044</v>
      </c>
      <c r="E622">
        <v>0</v>
      </c>
      <c r="F622">
        <v>401316</v>
      </c>
      <c r="G622">
        <v>918004</v>
      </c>
      <c r="H622">
        <v>1390068</v>
      </c>
      <c r="I622">
        <f>E622/H622</f>
        <v>0</v>
      </c>
    </row>
    <row r="623" spans="1:9" x14ac:dyDescent="0.25">
      <c r="A623" t="s">
        <v>166</v>
      </c>
      <c r="B623" t="s">
        <v>167</v>
      </c>
      <c r="C623">
        <v>424668</v>
      </c>
      <c r="D623">
        <v>402834</v>
      </c>
      <c r="E623">
        <v>0</v>
      </c>
      <c r="F623">
        <v>0</v>
      </c>
      <c r="G623">
        <v>340951</v>
      </c>
      <c r="H623">
        <v>351989</v>
      </c>
      <c r="I623">
        <f>E623/H623</f>
        <v>0</v>
      </c>
    </row>
    <row r="624" spans="1:9" x14ac:dyDescent="0.25">
      <c r="A624" t="s">
        <v>172</v>
      </c>
      <c r="B624" t="s">
        <v>173</v>
      </c>
      <c r="C624">
        <v>416312</v>
      </c>
      <c r="D624">
        <v>362649</v>
      </c>
      <c r="E624">
        <v>0</v>
      </c>
      <c r="F624">
        <v>0</v>
      </c>
      <c r="G624">
        <v>337094</v>
      </c>
      <c r="H624">
        <v>351989</v>
      </c>
      <c r="I624">
        <f>E624/H624</f>
        <v>0</v>
      </c>
    </row>
    <row r="625" spans="1:9" x14ac:dyDescent="0.25">
      <c r="A625" t="s">
        <v>174</v>
      </c>
      <c r="B625" t="s">
        <v>175</v>
      </c>
      <c r="C625">
        <v>157413</v>
      </c>
      <c r="D625">
        <v>0</v>
      </c>
      <c r="E625">
        <v>0</v>
      </c>
      <c r="F625">
        <v>0</v>
      </c>
      <c r="G625">
        <v>0</v>
      </c>
      <c r="H625">
        <v>145604</v>
      </c>
      <c r="I625">
        <f>E625/H625</f>
        <v>0</v>
      </c>
    </row>
    <row r="626" spans="1:9" x14ac:dyDescent="0.25">
      <c r="A626" t="s">
        <v>176</v>
      </c>
      <c r="B626" t="s">
        <v>177</v>
      </c>
      <c r="C626">
        <v>157413</v>
      </c>
      <c r="D626">
        <v>0</v>
      </c>
      <c r="E626">
        <v>0</v>
      </c>
      <c r="F626">
        <v>0</v>
      </c>
      <c r="G626">
        <v>0</v>
      </c>
      <c r="H626">
        <v>145604</v>
      </c>
      <c r="I626">
        <f>E626/H626</f>
        <v>0</v>
      </c>
    </row>
    <row r="627" spans="1:9" x14ac:dyDescent="0.25">
      <c r="A627" t="s">
        <v>178</v>
      </c>
      <c r="B627" t="s">
        <v>179</v>
      </c>
      <c r="C627">
        <v>157413</v>
      </c>
      <c r="D627">
        <v>0</v>
      </c>
      <c r="E627">
        <v>0</v>
      </c>
      <c r="F627">
        <v>0</v>
      </c>
      <c r="G627">
        <v>0</v>
      </c>
      <c r="H627">
        <v>165852</v>
      </c>
      <c r="I627">
        <f>E627/H627</f>
        <v>0</v>
      </c>
    </row>
    <row r="628" spans="1:9" x14ac:dyDescent="0.25">
      <c r="A628" t="s">
        <v>188</v>
      </c>
      <c r="B628" t="s">
        <v>189</v>
      </c>
      <c r="C628">
        <v>917015</v>
      </c>
      <c r="D628">
        <v>1141493</v>
      </c>
      <c r="E628">
        <v>0</v>
      </c>
      <c r="F628">
        <v>0</v>
      </c>
      <c r="G628">
        <v>413324</v>
      </c>
      <c r="H628">
        <v>287229</v>
      </c>
      <c r="I628">
        <f>E628/H628</f>
        <v>0</v>
      </c>
    </row>
    <row r="629" spans="1:9" x14ac:dyDescent="0.25">
      <c r="A629" t="s">
        <v>226</v>
      </c>
      <c r="B629" t="s">
        <v>227</v>
      </c>
      <c r="C629">
        <v>936338</v>
      </c>
      <c r="D629">
        <v>1653405</v>
      </c>
      <c r="E629">
        <v>0</v>
      </c>
      <c r="F629">
        <v>0</v>
      </c>
      <c r="G629">
        <v>519706</v>
      </c>
      <c r="H629">
        <v>796547</v>
      </c>
      <c r="I629">
        <f>E629/H629</f>
        <v>0</v>
      </c>
    </row>
    <row r="630" spans="1:9" x14ac:dyDescent="0.25">
      <c r="A630" t="s">
        <v>228</v>
      </c>
      <c r="B630" t="s">
        <v>229</v>
      </c>
      <c r="C630">
        <v>936338</v>
      </c>
      <c r="D630">
        <v>1653405</v>
      </c>
      <c r="E630">
        <v>0</v>
      </c>
      <c r="F630">
        <v>0</v>
      </c>
      <c r="G630">
        <v>519706</v>
      </c>
      <c r="H630">
        <v>796547</v>
      </c>
      <c r="I630">
        <f>E630/H630</f>
        <v>0</v>
      </c>
    </row>
    <row r="631" spans="1:9" x14ac:dyDescent="0.25">
      <c r="A631" t="s">
        <v>230</v>
      </c>
      <c r="B631" t="s">
        <v>231</v>
      </c>
      <c r="C631">
        <v>936338</v>
      </c>
      <c r="D631">
        <v>1735927</v>
      </c>
      <c r="E631">
        <v>0</v>
      </c>
      <c r="F631">
        <v>0</v>
      </c>
      <c r="G631">
        <v>545494</v>
      </c>
      <c r="H631">
        <v>796547</v>
      </c>
      <c r="I631">
        <f>E631/H631</f>
        <v>0</v>
      </c>
    </row>
    <row r="632" spans="1:9" x14ac:dyDescent="0.25">
      <c r="A632" t="s">
        <v>254</v>
      </c>
      <c r="B632" t="s">
        <v>255</v>
      </c>
      <c r="C632">
        <v>317184</v>
      </c>
      <c r="D632">
        <v>250851</v>
      </c>
      <c r="E632">
        <v>0</v>
      </c>
      <c r="F632">
        <v>0</v>
      </c>
      <c r="G632">
        <v>265127</v>
      </c>
      <c r="H632">
        <v>233379</v>
      </c>
      <c r="I632">
        <f>E632/H632</f>
        <v>0</v>
      </c>
    </row>
    <row r="633" spans="1:9" x14ac:dyDescent="0.25">
      <c r="A633" t="s">
        <v>256</v>
      </c>
      <c r="B633" t="s">
        <v>257</v>
      </c>
      <c r="C633">
        <v>537280</v>
      </c>
      <c r="D633">
        <v>251892</v>
      </c>
      <c r="E633">
        <v>0</v>
      </c>
      <c r="F633">
        <v>0</v>
      </c>
      <c r="G633">
        <v>266477</v>
      </c>
      <c r="H633">
        <v>243449</v>
      </c>
      <c r="I633">
        <f>E633/H633</f>
        <v>0</v>
      </c>
    </row>
    <row r="634" spans="1:9" x14ac:dyDescent="0.25">
      <c r="A634" t="s">
        <v>264</v>
      </c>
      <c r="B634" t="s">
        <v>265</v>
      </c>
      <c r="C634">
        <v>613247</v>
      </c>
      <c r="D634">
        <v>656341</v>
      </c>
      <c r="E634">
        <v>0</v>
      </c>
      <c r="F634">
        <v>0</v>
      </c>
      <c r="G634">
        <v>523715</v>
      </c>
      <c r="H634">
        <v>442602</v>
      </c>
      <c r="I634">
        <f>E634/H634</f>
        <v>0</v>
      </c>
    </row>
    <row r="635" spans="1:9" x14ac:dyDescent="0.25">
      <c r="A635" t="s">
        <v>292</v>
      </c>
      <c r="B635" t="s">
        <v>293</v>
      </c>
      <c r="C635">
        <v>397853</v>
      </c>
      <c r="D635">
        <v>384336</v>
      </c>
      <c r="E635">
        <v>0</v>
      </c>
      <c r="F635">
        <v>0</v>
      </c>
      <c r="G635">
        <v>344834</v>
      </c>
      <c r="H635">
        <v>266729</v>
      </c>
      <c r="I635">
        <f>E635/H635</f>
        <v>0</v>
      </c>
    </row>
    <row r="636" spans="1:9" x14ac:dyDescent="0.25">
      <c r="A636" t="s">
        <v>294</v>
      </c>
      <c r="B636" t="s">
        <v>295</v>
      </c>
      <c r="C636">
        <v>397853</v>
      </c>
      <c r="D636">
        <v>384336</v>
      </c>
      <c r="E636">
        <v>0</v>
      </c>
      <c r="F636">
        <v>0</v>
      </c>
      <c r="G636">
        <v>344834</v>
      </c>
      <c r="H636">
        <v>266729</v>
      </c>
      <c r="I636">
        <f>E636/H636</f>
        <v>0</v>
      </c>
    </row>
    <row r="637" spans="1:9" x14ac:dyDescent="0.25">
      <c r="A637" t="s">
        <v>306</v>
      </c>
      <c r="B637" t="s">
        <v>307</v>
      </c>
      <c r="C637">
        <v>190706</v>
      </c>
      <c r="D637">
        <v>150650</v>
      </c>
      <c r="E637">
        <v>0</v>
      </c>
      <c r="F637">
        <v>0</v>
      </c>
      <c r="G637">
        <v>136513</v>
      </c>
      <c r="H637">
        <v>132176</v>
      </c>
      <c r="I637">
        <f>E637/H637</f>
        <v>0</v>
      </c>
    </row>
    <row r="638" spans="1:9" x14ac:dyDescent="0.25">
      <c r="A638" t="s">
        <v>315</v>
      </c>
      <c r="B638" t="s">
        <v>316</v>
      </c>
      <c r="C638">
        <v>422092</v>
      </c>
      <c r="D638">
        <v>282879</v>
      </c>
      <c r="E638">
        <v>0</v>
      </c>
      <c r="F638">
        <v>0</v>
      </c>
      <c r="G638">
        <v>223342</v>
      </c>
      <c r="H638">
        <v>224262</v>
      </c>
      <c r="I638">
        <f>E638/H638</f>
        <v>0</v>
      </c>
    </row>
    <row r="639" spans="1:9" x14ac:dyDescent="0.25">
      <c r="A639" t="s">
        <v>326</v>
      </c>
      <c r="B639" t="s">
        <v>327</v>
      </c>
      <c r="C639">
        <v>402503</v>
      </c>
      <c r="D639">
        <v>275396</v>
      </c>
      <c r="E639">
        <v>0</v>
      </c>
      <c r="F639">
        <v>0</v>
      </c>
      <c r="G639">
        <v>275258</v>
      </c>
      <c r="H639">
        <v>217865</v>
      </c>
      <c r="I639">
        <f>E639/H639</f>
        <v>0</v>
      </c>
    </row>
    <row r="640" spans="1:9" x14ac:dyDescent="0.25">
      <c r="A640" t="s">
        <v>328</v>
      </c>
      <c r="B640" t="s">
        <v>329</v>
      </c>
      <c r="C640">
        <v>402503</v>
      </c>
      <c r="D640">
        <v>275396</v>
      </c>
      <c r="E640">
        <v>0</v>
      </c>
      <c r="F640">
        <v>0</v>
      </c>
      <c r="G640">
        <v>275258</v>
      </c>
      <c r="H640">
        <v>217865</v>
      </c>
      <c r="I640">
        <f>E640/H640</f>
        <v>0</v>
      </c>
    </row>
    <row r="641" spans="1:9" x14ac:dyDescent="0.25">
      <c r="A641" t="s">
        <v>338</v>
      </c>
      <c r="B641" t="s">
        <v>339</v>
      </c>
      <c r="C641">
        <v>511802</v>
      </c>
      <c r="D641">
        <v>515940</v>
      </c>
      <c r="E641">
        <v>0</v>
      </c>
      <c r="F641">
        <v>0</v>
      </c>
      <c r="G641">
        <v>206679</v>
      </c>
      <c r="H641">
        <v>255872</v>
      </c>
      <c r="I641">
        <f>E641/H641</f>
        <v>0</v>
      </c>
    </row>
    <row r="642" spans="1:9" x14ac:dyDescent="0.25">
      <c r="A642" t="s">
        <v>340</v>
      </c>
      <c r="B642" t="s">
        <v>341</v>
      </c>
      <c r="C642">
        <v>511802</v>
      </c>
      <c r="D642">
        <v>515940</v>
      </c>
      <c r="E642">
        <v>0</v>
      </c>
      <c r="F642">
        <v>0</v>
      </c>
      <c r="G642">
        <v>206679</v>
      </c>
      <c r="H642">
        <v>255872</v>
      </c>
      <c r="I642">
        <f>E642/H642</f>
        <v>0</v>
      </c>
    </row>
    <row r="643" spans="1:9" x14ac:dyDescent="0.25">
      <c r="A643" t="s">
        <v>352</v>
      </c>
      <c r="B643" t="s">
        <v>353</v>
      </c>
      <c r="C643">
        <v>410593</v>
      </c>
      <c r="D643">
        <v>301754</v>
      </c>
      <c r="E643">
        <v>0</v>
      </c>
      <c r="F643">
        <v>0</v>
      </c>
      <c r="G643">
        <v>256302</v>
      </c>
      <c r="H643">
        <v>216298</v>
      </c>
      <c r="I643">
        <f>E643/H643</f>
        <v>0</v>
      </c>
    </row>
    <row r="644" spans="1:9" x14ac:dyDescent="0.25">
      <c r="A644" t="s">
        <v>354</v>
      </c>
      <c r="B644" t="s">
        <v>355</v>
      </c>
      <c r="C644">
        <v>416166</v>
      </c>
      <c r="D644">
        <v>301754</v>
      </c>
      <c r="E644">
        <v>0</v>
      </c>
      <c r="F644">
        <v>0</v>
      </c>
      <c r="G644">
        <v>256302</v>
      </c>
      <c r="H644">
        <v>216298</v>
      </c>
      <c r="I644">
        <f>E644/H644</f>
        <v>0</v>
      </c>
    </row>
    <row r="645" spans="1:9" x14ac:dyDescent="0.25">
      <c r="A645" t="s">
        <v>391</v>
      </c>
      <c r="B645" t="s">
        <v>392</v>
      </c>
      <c r="C645">
        <v>600927</v>
      </c>
      <c r="D645">
        <v>682619</v>
      </c>
      <c r="E645">
        <v>0</v>
      </c>
      <c r="F645">
        <v>0</v>
      </c>
      <c r="G645">
        <v>367504</v>
      </c>
      <c r="H645">
        <v>385004</v>
      </c>
      <c r="I645">
        <f>E645/H645</f>
        <v>0</v>
      </c>
    </row>
    <row r="646" spans="1:9" x14ac:dyDescent="0.25">
      <c r="A646" t="s">
        <v>395</v>
      </c>
      <c r="B646" t="s">
        <v>396</v>
      </c>
      <c r="C646">
        <v>570459</v>
      </c>
      <c r="D646">
        <v>682619</v>
      </c>
      <c r="E646">
        <v>0</v>
      </c>
      <c r="F646">
        <v>0</v>
      </c>
      <c r="G646">
        <v>367504</v>
      </c>
      <c r="H646">
        <v>385004</v>
      </c>
      <c r="I646">
        <f>E646/H646</f>
        <v>0</v>
      </c>
    </row>
    <row r="647" spans="1:9" x14ac:dyDescent="0.25">
      <c r="A647" t="s">
        <v>399</v>
      </c>
      <c r="B647" t="s">
        <v>400</v>
      </c>
      <c r="C647">
        <v>1479188</v>
      </c>
      <c r="D647">
        <v>1652089</v>
      </c>
      <c r="E647">
        <v>0</v>
      </c>
      <c r="F647">
        <v>0</v>
      </c>
      <c r="G647">
        <v>718281</v>
      </c>
      <c r="H647">
        <v>722164</v>
      </c>
      <c r="I647">
        <f>E647/H647</f>
        <v>0</v>
      </c>
    </row>
    <row r="648" spans="1:9" x14ac:dyDescent="0.25">
      <c r="A648" t="s">
        <v>401</v>
      </c>
      <c r="B648" t="s">
        <v>402</v>
      </c>
      <c r="C648">
        <v>1596991</v>
      </c>
      <c r="D648">
        <v>1930702</v>
      </c>
      <c r="E648">
        <v>0</v>
      </c>
      <c r="F648">
        <v>0</v>
      </c>
      <c r="G648">
        <v>867465</v>
      </c>
      <c r="H648">
        <v>737733</v>
      </c>
      <c r="I648">
        <f>E648/H648</f>
        <v>0</v>
      </c>
    </row>
    <row r="649" spans="1:9" x14ac:dyDescent="0.25">
      <c r="A649" t="s">
        <v>403</v>
      </c>
      <c r="B649" t="s">
        <v>404</v>
      </c>
      <c r="C649">
        <v>1596991</v>
      </c>
      <c r="D649">
        <v>1930702</v>
      </c>
      <c r="E649">
        <v>0</v>
      </c>
      <c r="F649">
        <v>0</v>
      </c>
      <c r="G649">
        <v>867465</v>
      </c>
      <c r="H649">
        <v>737733</v>
      </c>
      <c r="I649">
        <f>E649/H649</f>
        <v>0</v>
      </c>
    </row>
    <row r="650" spans="1:9" x14ac:dyDescent="0.25">
      <c r="A650" t="s">
        <v>405</v>
      </c>
      <c r="B650" t="s">
        <v>406</v>
      </c>
      <c r="C650">
        <v>1557316</v>
      </c>
      <c r="D650">
        <v>1787123</v>
      </c>
      <c r="E650">
        <v>0</v>
      </c>
      <c r="F650">
        <v>0</v>
      </c>
      <c r="G650">
        <v>839520</v>
      </c>
      <c r="H650">
        <v>686333</v>
      </c>
      <c r="I650">
        <f>E650/H650</f>
        <v>0</v>
      </c>
    </row>
    <row r="651" spans="1:9" x14ac:dyDescent="0.25">
      <c r="A651" t="s">
        <v>409</v>
      </c>
      <c r="B651" t="s">
        <v>410</v>
      </c>
      <c r="C651">
        <v>488876</v>
      </c>
      <c r="D651">
        <v>541793</v>
      </c>
      <c r="E651">
        <v>0</v>
      </c>
      <c r="F651">
        <v>0</v>
      </c>
      <c r="G651">
        <v>219033</v>
      </c>
      <c r="H651">
        <v>210310</v>
      </c>
      <c r="I651">
        <f>E651/H651</f>
        <v>0</v>
      </c>
    </row>
    <row r="652" spans="1:9" x14ac:dyDescent="0.25">
      <c r="A652" t="s">
        <v>414</v>
      </c>
      <c r="B652" t="s">
        <v>415</v>
      </c>
      <c r="C652">
        <v>500845</v>
      </c>
      <c r="D652">
        <v>681452</v>
      </c>
      <c r="E652">
        <v>0</v>
      </c>
      <c r="F652">
        <v>0</v>
      </c>
      <c r="G652">
        <v>380963</v>
      </c>
      <c r="H652">
        <v>403929</v>
      </c>
      <c r="I652">
        <f>E652/H652</f>
        <v>0</v>
      </c>
    </row>
    <row r="653" spans="1:9" x14ac:dyDescent="0.25">
      <c r="A653" t="s">
        <v>420</v>
      </c>
      <c r="B653" t="s">
        <v>421</v>
      </c>
      <c r="C653">
        <v>406890</v>
      </c>
      <c r="D653">
        <v>533976</v>
      </c>
      <c r="E653">
        <v>0</v>
      </c>
      <c r="F653">
        <v>0</v>
      </c>
      <c r="G653">
        <v>270488</v>
      </c>
      <c r="H653">
        <v>281883</v>
      </c>
      <c r="I653">
        <f>E653/H653</f>
        <v>0</v>
      </c>
    </row>
    <row r="654" spans="1:9" x14ac:dyDescent="0.25">
      <c r="A654" t="s">
        <v>424</v>
      </c>
      <c r="B654" t="s">
        <v>425</v>
      </c>
      <c r="C654">
        <v>369094</v>
      </c>
      <c r="D654">
        <v>0</v>
      </c>
      <c r="E654">
        <v>0</v>
      </c>
      <c r="F654">
        <v>0</v>
      </c>
      <c r="G654">
        <v>0</v>
      </c>
      <c r="H654">
        <v>128238</v>
      </c>
      <c r="I654">
        <f>E654/H654</f>
        <v>0</v>
      </c>
    </row>
    <row r="655" spans="1:9" x14ac:dyDescent="0.25">
      <c r="A655" t="s">
        <v>426</v>
      </c>
      <c r="B655" t="s">
        <v>427</v>
      </c>
      <c r="C655">
        <v>369094</v>
      </c>
      <c r="D655">
        <v>0</v>
      </c>
      <c r="E655">
        <v>0</v>
      </c>
      <c r="F655">
        <v>0</v>
      </c>
      <c r="G655">
        <v>0</v>
      </c>
      <c r="H655">
        <v>148639</v>
      </c>
      <c r="I655">
        <f>E655/H655</f>
        <v>0</v>
      </c>
    </row>
    <row r="656" spans="1:9" x14ac:dyDescent="0.25">
      <c r="A656" t="s">
        <v>434</v>
      </c>
      <c r="B656" t="s">
        <v>435</v>
      </c>
      <c r="C656">
        <v>642077</v>
      </c>
      <c r="D656">
        <v>1005992</v>
      </c>
      <c r="E656">
        <v>0</v>
      </c>
      <c r="F656">
        <v>0</v>
      </c>
      <c r="G656">
        <v>630114</v>
      </c>
      <c r="H656">
        <v>478545</v>
      </c>
      <c r="I656">
        <f>E656/H656</f>
        <v>0</v>
      </c>
    </row>
    <row r="657" spans="1:9" x14ac:dyDescent="0.25">
      <c r="A657" t="s">
        <v>436</v>
      </c>
      <c r="B657" t="s">
        <v>437</v>
      </c>
      <c r="C657">
        <v>642077</v>
      </c>
      <c r="D657">
        <v>1005992</v>
      </c>
      <c r="E657">
        <v>0</v>
      </c>
      <c r="F657">
        <v>0</v>
      </c>
      <c r="G657">
        <v>630114</v>
      </c>
      <c r="H657">
        <v>478545</v>
      </c>
      <c r="I657">
        <f>E657/H657</f>
        <v>0</v>
      </c>
    </row>
    <row r="658" spans="1:9" x14ac:dyDescent="0.25">
      <c r="A658" t="s">
        <v>492</v>
      </c>
      <c r="B658" t="s">
        <v>493</v>
      </c>
      <c r="C658">
        <v>515483</v>
      </c>
      <c r="D658">
        <v>207424</v>
      </c>
      <c r="E658">
        <v>0</v>
      </c>
      <c r="F658">
        <v>0</v>
      </c>
      <c r="G658">
        <v>152977</v>
      </c>
      <c r="H658">
        <v>226174</v>
      </c>
      <c r="I658">
        <f>E658/H658</f>
        <v>0</v>
      </c>
    </row>
    <row r="659" spans="1:9" x14ac:dyDescent="0.25">
      <c r="A659" t="s">
        <v>494</v>
      </c>
      <c r="B659" t="s">
        <v>495</v>
      </c>
      <c r="C659">
        <v>513044</v>
      </c>
      <c r="D659">
        <v>201834</v>
      </c>
      <c r="E659">
        <v>0</v>
      </c>
      <c r="F659">
        <v>0</v>
      </c>
      <c r="G659">
        <v>152977</v>
      </c>
      <c r="H659">
        <v>211403</v>
      </c>
      <c r="I659">
        <f>E659/H659</f>
        <v>0</v>
      </c>
    </row>
    <row r="660" spans="1:9" x14ac:dyDescent="0.25">
      <c r="A660" t="s">
        <v>496</v>
      </c>
      <c r="B660" t="s">
        <v>497</v>
      </c>
      <c r="C660">
        <v>513044</v>
      </c>
      <c r="D660">
        <v>201834</v>
      </c>
      <c r="E660">
        <v>0</v>
      </c>
      <c r="F660">
        <v>0</v>
      </c>
      <c r="G660">
        <v>152977</v>
      </c>
      <c r="H660">
        <v>211403</v>
      </c>
      <c r="I660">
        <f>E660/H660</f>
        <v>0</v>
      </c>
    </row>
    <row r="661" spans="1:9" x14ac:dyDescent="0.25">
      <c r="A661" t="s">
        <v>510</v>
      </c>
      <c r="B661" t="s">
        <v>511</v>
      </c>
      <c r="C661">
        <v>171690</v>
      </c>
      <c r="D661">
        <v>0</v>
      </c>
      <c r="E661">
        <v>0</v>
      </c>
      <c r="F661">
        <v>0</v>
      </c>
      <c r="G661">
        <v>0</v>
      </c>
      <c r="H661">
        <v>108952</v>
      </c>
      <c r="I661">
        <f>E661/H661</f>
        <v>0</v>
      </c>
    </row>
    <row r="662" spans="1:9" x14ac:dyDescent="0.25">
      <c r="A662" t="s">
        <v>512</v>
      </c>
      <c r="B662" t="s">
        <v>513</v>
      </c>
      <c r="C662">
        <v>171690</v>
      </c>
      <c r="D662">
        <v>0</v>
      </c>
      <c r="E662">
        <v>0</v>
      </c>
      <c r="F662">
        <v>0</v>
      </c>
      <c r="G662">
        <v>0</v>
      </c>
      <c r="H662">
        <v>108952</v>
      </c>
      <c r="I662">
        <f>E662/H662</f>
        <v>0</v>
      </c>
    </row>
    <row r="663" spans="1:9" x14ac:dyDescent="0.25">
      <c r="A663" t="s">
        <v>532</v>
      </c>
      <c r="B663" t="s">
        <v>533</v>
      </c>
      <c r="C663">
        <v>545324</v>
      </c>
      <c r="D663">
        <v>942733</v>
      </c>
      <c r="E663">
        <v>0</v>
      </c>
      <c r="F663">
        <v>0</v>
      </c>
      <c r="G663">
        <v>645149</v>
      </c>
      <c r="H663">
        <v>498329</v>
      </c>
      <c r="I663">
        <f>E663/H663</f>
        <v>0</v>
      </c>
    </row>
    <row r="664" spans="1:9" x14ac:dyDescent="0.25">
      <c r="A664" t="s">
        <v>732</v>
      </c>
      <c r="B664" t="s">
        <v>733</v>
      </c>
      <c r="C664">
        <v>170225</v>
      </c>
      <c r="D664">
        <v>0</v>
      </c>
      <c r="E664">
        <v>0</v>
      </c>
      <c r="F664">
        <v>0</v>
      </c>
      <c r="G664">
        <v>0</v>
      </c>
      <c r="H664">
        <v>443472</v>
      </c>
      <c r="I664">
        <f>E664/H664</f>
        <v>0</v>
      </c>
    </row>
    <row r="665" spans="1:9" x14ac:dyDescent="0.25">
      <c r="A665" t="s">
        <v>734</v>
      </c>
      <c r="B665" t="s">
        <v>735</v>
      </c>
      <c r="C665">
        <v>170225</v>
      </c>
      <c r="D665">
        <v>0</v>
      </c>
      <c r="E665">
        <v>0</v>
      </c>
      <c r="F665">
        <v>0</v>
      </c>
      <c r="G665">
        <v>0</v>
      </c>
      <c r="H665">
        <v>443472</v>
      </c>
      <c r="I665">
        <f>E665/H665</f>
        <v>0</v>
      </c>
    </row>
    <row r="666" spans="1:9" x14ac:dyDescent="0.25">
      <c r="A666" t="s">
        <v>736</v>
      </c>
      <c r="B666" t="s">
        <v>737</v>
      </c>
      <c r="C666">
        <v>170225</v>
      </c>
      <c r="D666">
        <v>0</v>
      </c>
      <c r="E666">
        <v>0</v>
      </c>
      <c r="F666">
        <v>0</v>
      </c>
      <c r="G666">
        <v>0</v>
      </c>
      <c r="H666">
        <v>443472</v>
      </c>
      <c r="I666">
        <f>E666/H666</f>
        <v>0</v>
      </c>
    </row>
    <row r="667" spans="1:9" x14ac:dyDescent="0.25">
      <c r="A667" t="s">
        <v>775</v>
      </c>
      <c r="B667" t="s">
        <v>1071</v>
      </c>
      <c r="C667">
        <v>0</v>
      </c>
      <c r="D667">
        <v>212616</v>
      </c>
      <c r="E667">
        <v>0</v>
      </c>
      <c r="F667">
        <v>0</v>
      </c>
      <c r="G667">
        <v>0</v>
      </c>
      <c r="H667">
        <v>170603</v>
      </c>
      <c r="I667">
        <f>E667/H667</f>
        <v>0</v>
      </c>
    </row>
    <row r="668" spans="1:9" x14ac:dyDescent="0.25">
      <c r="A668" t="s">
        <v>780</v>
      </c>
      <c r="B668" t="s">
        <v>1074</v>
      </c>
      <c r="C668">
        <v>0</v>
      </c>
      <c r="D668">
        <v>1102452</v>
      </c>
      <c r="E668">
        <v>0</v>
      </c>
      <c r="F668">
        <v>0</v>
      </c>
      <c r="G668">
        <v>442132</v>
      </c>
      <c r="H668">
        <v>747703</v>
      </c>
      <c r="I668">
        <f>E668/H668</f>
        <v>0</v>
      </c>
    </row>
    <row r="669" spans="1:9" x14ac:dyDescent="0.25">
      <c r="A669" t="s">
        <v>781</v>
      </c>
      <c r="B669" t="s">
        <v>1075</v>
      </c>
      <c r="C669">
        <v>0</v>
      </c>
      <c r="D669">
        <v>331186</v>
      </c>
      <c r="E669">
        <v>0</v>
      </c>
      <c r="F669">
        <v>0</v>
      </c>
      <c r="G669">
        <v>0</v>
      </c>
      <c r="H669">
        <v>219876</v>
      </c>
      <c r="I669">
        <f>E669/H669</f>
        <v>0</v>
      </c>
    </row>
    <row r="670" spans="1:9" x14ac:dyDescent="0.25">
      <c r="A670" t="s">
        <v>782</v>
      </c>
      <c r="B670" t="s">
        <v>1075</v>
      </c>
      <c r="C670">
        <v>0</v>
      </c>
      <c r="D670">
        <v>331186</v>
      </c>
      <c r="E670">
        <v>0</v>
      </c>
      <c r="F670">
        <v>0</v>
      </c>
      <c r="G670">
        <v>0</v>
      </c>
      <c r="H670">
        <v>219876</v>
      </c>
      <c r="I670">
        <f>E670/H670</f>
        <v>0</v>
      </c>
    </row>
    <row r="671" spans="1:9" x14ac:dyDescent="0.25">
      <c r="A671" t="s">
        <v>783</v>
      </c>
      <c r="B671" t="s">
        <v>1076</v>
      </c>
      <c r="C671">
        <v>0</v>
      </c>
      <c r="D671">
        <v>331186</v>
      </c>
      <c r="E671">
        <v>0</v>
      </c>
      <c r="F671">
        <v>0</v>
      </c>
      <c r="G671">
        <v>0</v>
      </c>
      <c r="H671">
        <v>244233</v>
      </c>
      <c r="I671">
        <f>E671/H671</f>
        <v>0</v>
      </c>
    </row>
    <row r="672" spans="1:9" x14ac:dyDescent="0.25">
      <c r="A672" t="s">
        <v>795</v>
      </c>
      <c r="B672" t="s">
        <v>1087</v>
      </c>
      <c r="C672">
        <v>0</v>
      </c>
      <c r="D672">
        <v>243067</v>
      </c>
      <c r="E672">
        <v>0</v>
      </c>
      <c r="F672">
        <v>0</v>
      </c>
      <c r="G672">
        <v>158973</v>
      </c>
      <c r="H672">
        <v>244687</v>
      </c>
      <c r="I672">
        <f>E672/H672</f>
        <v>0</v>
      </c>
    </row>
    <row r="673" spans="1:9" x14ac:dyDescent="0.25">
      <c r="A673" t="s">
        <v>796</v>
      </c>
      <c r="B673" t="s">
        <v>1087</v>
      </c>
      <c r="C673">
        <v>0</v>
      </c>
      <c r="D673">
        <v>243067</v>
      </c>
      <c r="E673">
        <v>0</v>
      </c>
      <c r="F673">
        <v>0</v>
      </c>
      <c r="G673">
        <v>168450</v>
      </c>
      <c r="H673">
        <v>244687</v>
      </c>
      <c r="I673">
        <f>E673/H673</f>
        <v>0</v>
      </c>
    </row>
    <row r="674" spans="1:9" x14ac:dyDescent="0.25">
      <c r="A674" t="s">
        <v>812</v>
      </c>
      <c r="B674" t="s">
        <v>1087</v>
      </c>
      <c r="C674">
        <v>0</v>
      </c>
      <c r="D674">
        <v>206261</v>
      </c>
      <c r="E674">
        <v>0</v>
      </c>
      <c r="F674">
        <v>0</v>
      </c>
      <c r="G674">
        <v>0</v>
      </c>
      <c r="H674">
        <v>223214</v>
      </c>
      <c r="I674">
        <f>E674/H674</f>
        <v>0</v>
      </c>
    </row>
    <row r="675" spans="1:9" x14ac:dyDescent="0.25">
      <c r="A675" t="s">
        <v>813</v>
      </c>
      <c r="B675" t="s">
        <v>1097</v>
      </c>
      <c r="C675">
        <v>0</v>
      </c>
      <c r="D675">
        <v>304458</v>
      </c>
      <c r="E675">
        <v>0</v>
      </c>
      <c r="F675">
        <v>0</v>
      </c>
      <c r="G675">
        <v>279299</v>
      </c>
      <c r="H675">
        <v>364823</v>
      </c>
      <c r="I675">
        <f>E675/H675</f>
        <v>0</v>
      </c>
    </row>
    <row r="676" spans="1:9" x14ac:dyDescent="0.25">
      <c r="A676" t="s">
        <v>814</v>
      </c>
      <c r="B676" t="s">
        <v>1098</v>
      </c>
      <c r="C676">
        <v>0</v>
      </c>
      <c r="D676">
        <v>304458</v>
      </c>
      <c r="E676">
        <v>0</v>
      </c>
      <c r="F676">
        <v>0</v>
      </c>
      <c r="G676">
        <v>279299</v>
      </c>
      <c r="H676">
        <v>364823</v>
      </c>
      <c r="I676">
        <f>E676/H676</f>
        <v>0</v>
      </c>
    </row>
    <row r="677" spans="1:9" x14ac:dyDescent="0.25">
      <c r="A677" t="s">
        <v>1050</v>
      </c>
      <c r="B677" t="s">
        <v>1246</v>
      </c>
      <c r="C677">
        <v>0</v>
      </c>
      <c r="D677">
        <v>0</v>
      </c>
      <c r="E677">
        <v>0</v>
      </c>
      <c r="F677">
        <v>0</v>
      </c>
      <c r="G677">
        <v>291535</v>
      </c>
      <c r="H677">
        <v>311336</v>
      </c>
      <c r="I677">
        <f>E677/H677</f>
        <v>0</v>
      </c>
    </row>
    <row r="678" spans="1:9" x14ac:dyDescent="0.25">
      <c r="A678" t="s">
        <v>1060</v>
      </c>
      <c r="B678" t="s">
        <v>1252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77050</v>
      </c>
      <c r="I678">
        <f>E678/H678</f>
        <v>0</v>
      </c>
    </row>
    <row r="679" spans="1:9" x14ac:dyDescent="0.25">
      <c r="A679" t="s">
        <v>1061</v>
      </c>
      <c r="B679" t="s">
        <v>1253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136798</v>
      </c>
      <c r="I679">
        <f>E679/H679</f>
        <v>0</v>
      </c>
    </row>
    <row r="680" spans="1:9" x14ac:dyDescent="0.25">
      <c r="A680" t="s">
        <v>1062</v>
      </c>
      <c r="B680" t="s">
        <v>1103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8974</v>
      </c>
      <c r="I680">
        <f>E680/H680</f>
        <v>0</v>
      </c>
    </row>
    <row r="681" spans="1:9" x14ac:dyDescent="0.25">
      <c r="A681" t="s">
        <v>1063</v>
      </c>
      <c r="B681" t="s">
        <v>1075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147768</v>
      </c>
      <c r="I681">
        <f>E681/H681</f>
        <v>0</v>
      </c>
    </row>
    <row r="682" spans="1:9" x14ac:dyDescent="0.25">
      <c r="A682" t="s">
        <v>1064</v>
      </c>
      <c r="B682" t="s">
        <v>1254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171818</v>
      </c>
      <c r="I682">
        <f>E682/H682</f>
        <v>0</v>
      </c>
    </row>
    <row r="683" spans="1:9" x14ac:dyDescent="0.25">
      <c r="A683" t="s">
        <v>1065</v>
      </c>
      <c r="B683" t="s">
        <v>1255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170774</v>
      </c>
      <c r="I683">
        <f>E683/H683</f>
        <v>0</v>
      </c>
    </row>
    <row r="684" spans="1:9" x14ac:dyDescent="0.25">
      <c r="A684" t="s">
        <v>1066</v>
      </c>
      <c r="B684" t="s">
        <v>1256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27668</v>
      </c>
      <c r="I684">
        <f>E684/H684</f>
        <v>0</v>
      </c>
    </row>
    <row r="685" spans="1:9" x14ac:dyDescent="0.25">
      <c r="A685" t="s">
        <v>1067</v>
      </c>
      <c r="B685" t="s">
        <v>1257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89311</v>
      </c>
      <c r="I685">
        <f>E685/H685</f>
        <v>0</v>
      </c>
    </row>
    <row r="686" spans="1:9" x14ac:dyDescent="0.25">
      <c r="A686" t="s">
        <v>1068</v>
      </c>
      <c r="B686" t="s">
        <v>1257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83770</v>
      </c>
      <c r="I686">
        <f>E686/H686</f>
        <v>0</v>
      </c>
    </row>
    <row r="687" spans="1:9" x14ac:dyDescent="0.25">
      <c r="A687" t="s">
        <v>1069</v>
      </c>
      <c r="B687" t="s">
        <v>1257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83770</v>
      </c>
      <c r="I687">
        <f>E687/H687</f>
        <v>0</v>
      </c>
    </row>
    <row r="688" spans="1:9" x14ac:dyDescent="0.25">
      <c r="A688" t="s">
        <v>1070</v>
      </c>
      <c r="B688" t="s">
        <v>1257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83770</v>
      </c>
      <c r="I688">
        <f>E688/H688</f>
        <v>0</v>
      </c>
    </row>
  </sheetData>
  <autoFilter ref="I1:I688" xr:uid="{00000000-0001-0000-0000-000000000000}">
    <sortState xmlns:xlrd2="http://schemas.microsoft.com/office/spreadsheetml/2017/richdata2" ref="A2:I688">
      <sortCondition descending="1" ref="I1:I68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Shivakumar, Tejasvi</cp:lastModifiedBy>
  <dcterms:created xsi:type="dcterms:W3CDTF">2026-03-04T16:00:44Z</dcterms:created>
  <dcterms:modified xsi:type="dcterms:W3CDTF">2026-03-04T16:48:06Z</dcterms:modified>
</cp:coreProperties>
</file>